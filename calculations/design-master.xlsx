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10317402a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79d10b81780f49cc"/>
    <x:sheet xmlns:r="http://schemas.openxmlformats.org/officeDocument/2006/relationships" name="Battery" sheetId="2" r:id="Rde21f750b68a482e"/>
    <x:sheet xmlns:r="http://schemas.openxmlformats.org/officeDocument/2006/relationships" name="LM61495 Main 5V" sheetId="3" r:id="Re2edf2f871424f52"/>
    <x:sheet xmlns:r="http://schemas.openxmlformats.org/officeDocument/2006/relationships" name="TPS62933F RF 5V" sheetId="4" r:id="R9fc9bb82f9d54666"/>
    <x:sheet xmlns:r="http://schemas.openxmlformats.org/officeDocument/2006/relationships" name="TLV758 Camera 4V" sheetId="5" r:id="R5861919770d74866"/>
    <x:sheet xmlns:r="http://schemas.openxmlformats.org/officeDocument/2006/relationships" name="TLV758 Camera 1V8" sheetId="6" r:id="Re38da3fce7154828"/>
    <x:sheet xmlns:r="http://schemas.openxmlformats.org/officeDocument/2006/relationships" name="TPS62933F Camera 3V3" sheetId="7" r:id="R713e178bda4342fa"/>
  </x:sheets>
</x:workbook>
</file>

<file path=xl/comments1.xml><?xml version="1.0" encoding="utf-8"?>
<x:comments xmlns:x="http://schemas.openxmlformats.org/spreadsheetml/2006/main">
  <x:authors>
    <x:author>tc={6BB73559-F542-493F-B319-D0BC0A48ED24}</x:author>
    <x:author>tc={84007819-7442-4336-9266-9F7453861861}</x:author>
    <x:author>tc={E2CD30E8-8148-4275-A0F1-BA443E195CB2}</x:author>
  </x:authors>
  <x:commentList>
    <x:comment ref="D12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Legacy project estimate for two cameras: 129 mA at 4 V and 194 mA at 1.8 V. Not measured startup limits. Recheck FRAMOS FSM:GO-IMX900 sections 5.2–5.4 and measure both rails. https://www.mouser.com/catalog/specsheets/FRAMOS_2-12-2026_FSM.GO-IMX900_Datasheet_v1.2a.pdf
</x:t>
        </x:r>
      </x:text>
    </x:comment>
    <x:comment ref="D9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3 A is a planning assumption, not a dual-encode benchmark. CM5 power data excludes external 3.3 V / 1.8 V loads. CM5 datasheet sections 3.3–3.4: https://datasheets.raspberrypi.com/cm5/cm5-datasheet.pdf
</x:t>
        </x:r>
      </x:text>
    </x:comment>
    <x:comment ref="B31" authorId="2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CM5 datasheet, external power and connector pin table: https://datasheets.raspberrypi.com/cm5/cm5-datasheet.pdf
</x:t>
        </x:r>
      </x:text>
    </x:comment>
  </x:commentList>
</x:comments>
</file>

<file path=xl/comments2.xml><?xml version="1.0" encoding="utf-8"?>
<x:comments xmlns:x="http://schemas.openxmlformats.org/spreadsheetml/2006/main">
  <x:authors>
    <x:author>tc={2710D78E-C19D-41E0-864E-9D1B2F78213D}</x:author>
    <x:author>tc={9BA3E804-3657-472B-B5D7-648D80AC5406}</x:author>
    <x:author>tc={A55846E2-28EF-4FB5-8B64-E791CA61FC18}</x:author>
    <x:author>tc={E51AA089-0CD1-4DA0-BD12-F24F6AD0BB84}</x:author>
  </x:authors>
  <x:commentList>
    <x:comment ref="B2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LM61495RPHR datasheet electrical characteristics and output-voltage setting. https://www.ti.com/lit/ds/symlink/lm61495.pdf
</x:t>
        </x:r>
      </x:text>
    </x:comment>
    <x:comment ref="B31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Ideal buck CCM: L = Vout (1 - Vout/Vin) / (deltaI * fs). TI SLVA477B, inductor selection. Use component tolerances and IC-specific permitted L/C values before selection. https://www.ti.com/lit/an/slva477b/slva477b.pdf
</x:t>
        </x:r>
      </x:text>
    </x:comment>
    <x:comment ref="B10" authorId="2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Frequency configuration from the LM61495RPHR datasheet. https://www.ti.com/lit/ds/symlink/lm61495.pdf
</x:t>
        </x:r>
      </x:text>
    </x:comment>
    <x:comment ref="B54" authorId="3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TI SLVA477B equations 12–13: deltaV approximately deltaI [ESR + 1/(8 fs C)]. Nominal CCM estimate, not a transient/stability verification. https://www.ti.com/lit/an/slva477b/slva477b.pdf
</x:t>
        </x:r>
      </x:text>
    </x:comment>
  </x:commentList>
</x:comments>
</file>

<file path=xl/comments3.xml><?xml version="1.0" encoding="utf-8"?>
<x:comments xmlns:x="http://schemas.openxmlformats.org/spreadsheetml/2006/main">
  <x:authors>
    <x:author>tc={312053A0-189B-4D92-AEF5-5C8BB870B313}</x:author>
    <x:author>tc={4614C22F-26B0-44E3-87FF-B8DCB1E2C027}</x:author>
    <x:author>tc={B2A51E7D-00E6-447E-930D-4AB10935E5FF}</x:author>
    <x:author>tc={E239A955-3EF9-464C-950C-90440AA8990D}</x:author>
  </x:authors>
  <x:commentList>
    <x:comment ref="B54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TI SLVA477B equations 12–13: deltaV approximately deltaI [ESR + 1/(8 fs C)]. Nominal CCM estimate, not a transient/stability verification. https://www.ti.com/lit/an/slva477b/slva477b.pdf
</x:t>
        </x:r>
      </x:text>
    </x:comment>
    <x:comment ref="B10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Frequency configuration from the TPS62933FDRLR datasheet. https://www.ti.com/lit/ds/symlink/tps62933.pdf
</x:t>
        </x:r>
      </x:text>
    </x:comment>
    <x:comment ref="B21" authorId="2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TPS62933FDRLR datasheet electrical characteristics and output-voltage setting. https://www.ti.com/lit/ds/symlink/tps62933.pdf
</x:t>
        </x:r>
      </x:text>
    </x:comment>
    <x:comment ref="B31" authorId="3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Ideal buck CCM: L = Vout (1 - Vout/Vin) / (deltaI * fs). TI SLVA477B, inductor selection. Use component tolerances and IC-specific permitted L/C values before selection. https://www.ti.com/lit/an/slva477b/slva477b.pdf
</x:t>
        </x:r>
      </x:text>
    </x:comment>
  </x:commentList>
</x:comments>
</file>

<file path=xl/comments4.xml><?xml version="1.0" encoding="utf-8"?>
<x:comments xmlns:x="http://schemas.openxmlformats.org/spreadsheetml/2006/main">
  <x:authors>
    <x:author>tc={92EB0A76-82D4-4C72-9CD2-422ED361EEC5}</x:author>
  </x:authors>
  <x:commentList>
    <x:comment ref="B16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TI TLV758P datasheet, sections 5.4–5.5: DRV WSON theta JA 80.3 C/W; VFB 0.55 V nominal. These are datasheet conditions, not a validated enclosure thermal result. https://www.ti.com/lit/ds/symlink/tlv758p.pdf
</x:t>
        </x:r>
      </x:text>
    </x:comment>
  </x:commentList>
</x:comments>
</file>

<file path=xl/comments5.xml><?xml version="1.0" encoding="utf-8"?>
<x:comments xmlns:x="http://schemas.openxmlformats.org/spreadsheetml/2006/main">
  <x:authors>
    <x:author>tc={089FE2BC-0036-463C-892C-9C806D015F29}</x:author>
  </x:authors>
  <x:commentList>
    <x:comment ref="B16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TI TLV758P datasheet, sections 5.4–5.5: DRV WSON theta JA 80.3 C/W; VFB 0.55 V nominal. These are datasheet conditions, not a validated enclosure thermal result. https://www.ti.com/lit/ds/symlink/tlv758p.pdf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<x:sst xmlns:x="http://schemas.openxmlformats.org/spreadsheetml/2006/main">
  <x:si>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PigeonVision power budget</x:t>
  </x:si>
  <x:si>
    <x:t xml:space="preserve">Battery draw (W)</x:t>
  </x:si>
  <x:si>
    <x:t xml:space="preserve">Runtime (min)</x:t>
  </x:si>
  <x:si>
    <x:t xml:space="preserve">Main 5 V design load (A)</x:t>
  </x:si>
  <x:si>
    <x:t xml:space="preserve">Load</x:t>
  </x:si>
  <x:si>
    <x:t xml:space="preserve">Rail</x:t>
  </x:si>
  <x:si>
    <x:t xml:space="preserve">V</x:t>
  </x:si>
  <x:si>
    <x:t xml:space="preserve">Average A</x:t>
  </x:si>
  <x:si>
    <x:t xml:space="preserve">Allowance A</x:t>
  </x:si>
  <x:si>
    <x:t xml:space="preserve">Average W</x:t>
  </x:si>
  <x:si>
    <x:t xml:space="preserve">Allowance W</x:t>
  </x:si>
  <x:si>
    <x:t xml:space="preserve">Basis</x:t>
  </x:si>
  <x:si>
    <x:t xml:space="preserve">CM5</x:t>
  </x:si>
  <x:si>
    <x:t xml:space="preserve">Main 5 V</x:t>
  </x:si>
  <x:si>
    <x:t xml:space="preserve">Assumed; encode + record, still need to measure</x:t>
  </x:si>
  <x:si>
    <x:t xml:space="preserve">E200</x:t>
  </x:si>
  <x:si>
    <x:t xml:space="preserve">Assumed; measure TX draw</x:t>
  </x:si>
  <x:si>
    <x:t xml:space="preserve">Fan</x:t>
  </x:si>
  <x:si>
    <x:t xml:space="preserve">Sensors / control</x:t>
  </x:si>
  <x:si>
    <x:t xml:space="preserve">PA + driver</x:t>
  </x:si>
  <x:si>
    <x:t xml:space="preserve">RF 5 V</x:t>
  </x:si>
  <x:si>
    <x:t xml:space="preserve">Assumed DC input, not RF</x:t>
  </x:si>
  <x:si>
    <x:t xml:space="preserve">Load power</x:t>
  </x:si>
  <x:si>
    <x:t xml:space="preserve">CM5 external 3.3 V</x:t>
  </x:si>
  <x:si>
    <x:t xml:space="preserve">Average</x:t>
  </x:si>
  <x:si>
    <x:t xml:space="preserve">Design</x:t>
  </x:si>
  <x:si>
    <x:t xml:space="preserve">Unit</x:t>
  </x:si>
  <x:si>
    <x:t xml:space="preserve">Output voltage</x:t>
  </x:si>
  <x:si>
    <x:t xml:space="preserve">PMIC efficiency</x:t>
  </x:si>
  <x:si>
    <x:t xml:space="preserve">External current</x:t>
  </x:si>
  <x:si>
    <x:t xml:space="preserve">A</x:t>
  </x:si>
  <x:si>
    <x:t xml:space="preserve">External current limit</x:t>
  </x:si>
  <x:si>
    <x:t xml:space="preserve">Remaining current</x:t>
  </x:si>
  <x:si>
    <x:t xml:space="preserve">External output power</x:t>
  </x:si>
  <x:si>
    <x:t xml:space="preserve">W</x:t>
  </x:si>
  <x:si>
    <x:t xml:space="preserve">Power from main 5 V</x:t>
  </x:si>
  <x:si>
    <x:t xml:space="preserve">External conversion loss</x:t>
  </x:si>
  <x:si>
    <x:t xml:space="preserve">Battery</x:t>
  </x:si>
  <x:si>
    <x:t xml:space="preserve">Input</x:t>
  </x:si>
  <x:si>
    <x:t xml:space="preserve">Value</x:t>
  </x:si>
  <x:si>
    <x:t xml:space="preserve">Series cells</x:t>
  </x:si>
  <x:si>
    <x:t xml:space="preserve">3S only</x:t>
  </x:si>
  <x:si>
    <x:t xml:space="preserve">Nominal cell voltage</x:t>
  </x:si>
  <x:si>
    <x:t xml:space="preserve">Cell TBD</x:t>
  </x:si>
  <x:si>
    <x:t xml:space="preserve">Full cell voltage</x:t>
  </x:si>
  <x:si>
    <x:t xml:space="preserve">Low pack voltage</x:t>
  </x:si>
  <x:si>
    <x:t xml:space="preserve">Pack capacity</x:t>
  </x:si>
  <x:si>
    <x:t xml:space="preserve">Ah</x:t>
  </x:si>
  <x:si>
    <x:t xml:space="preserve">Usable energy fraction</x:t>
  </x:si>
  <x:si>
    <x:t xml:space="preserve">Conservative</x:t>
  </x:si>
  <x:si>
    <x:t xml:space="preserve">h</x:t>
  </x:si>
  <x:si>
    <x:t xml:space="preserve">Input / quiescent overhead</x:t>
  </x:si>
  <x:si>
    <x:t xml:space="preserve">TBD/assumed</x:t>
  </x:si>
  <x:si>
    <x:t xml:space="preserve">Nominal pack voltage</x:t>
  </x:si>
  <x:si>
    <x:t xml:space="preserve">Full pack voltage</x:t>
  </x:si>
  <x:si>
    <x:t xml:space="preserve">Nominal pack energy</x:t>
  </x:si>
  <x:si>
    <x:t xml:space="preserve">Wh</x:t>
  </x:si>
  <x:si>
    <x:t xml:space="preserve">Usable pack energy</x:t>
  </x:si>
  <x:si>
    <x:t xml:space="preserve">Average battery draw</x:t>
  </x:si>
  <x:si>
    <x:t xml:space="preserve">Design battery draw</x:t>
  </x:si>
  <x:si>
    <x:t xml:space="preserve">Estimated runtime</x:t>
  </x:si>
  <x:si>
    <x:t xml:space="preserve">min</x:t>
  </x:si>
  <x:si>
    <x:t xml:space="preserve">Capacity for required time</x:t>
  </x:si>
  <x:si>
    <x:t xml:space="preserve">Average current at low V</x:t>
  </x:si>
  <x:si>
    <x:t xml:space="preserve">Design current at low V</x:t>
  </x:si>
  <x:si>
    <x:t xml:space="preserve">LM61495RPHR Main 5 V</x:t>
  </x:si>
  <x:si>
    <x:t xml:space="preserve">Parameter</x:t>
  </x:si>
  <x:si>
    <x:t xml:space="preserve">Note</x:t>
  </x:si>
  <x:si>
    <x:t xml:space="preserve">Input voltage minimum</x:t>
  </x:si>
  <x:si>
    <x:t xml:space="preserve">Calculation point, not cutoff</x:t>
  </x:si>
  <x:si>
    <x:t xml:space="preserve">Input voltage nominal</x:t>
  </x:si>
  <x:si>
    <x:t xml:space="preserve">3S</x:t>
  </x:si>
  <x:si>
    <x:t xml:space="preserve">Input voltage maximum</x:t>
  </x:si>
  <x:si>
    <x:t xml:space="preserve">Target</x:t>
  </x:si>
  <x:si>
    <x:t xml:space="preserve">Average output current</x:t>
  </x:si>
  <x:si>
    <x:t xml:space="preserve">Power budget estimate</x:t>
  </x:si>
  <x:si>
    <x:t xml:space="preserve">Design load current</x:t>
  </x:si>
  <x:si>
    <x:t xml:space="preserve">Power budget allowances</x:t>
  </x:si>
  <x:si>
    <x:t xml:space="preserve">Converter design current</x:t>
  </x:si>
  <x:si>
    <x:t xml:space="preserve">Size the circuit for this allocation</x:t>
  </x:si>
  <x:si>
    <x:t xml:space="preserve">Switching frequency</x:t>
  </x:si>
  <x:si>
    <x:t xml:space="preserve">Hz</x:t>
  </x:si>
  <x:si>
    <x:t xml:space="preserve">Initial 400 kHz; RT to VCC</x:t>
  </x:si>
  <x:si>
    <x:t xml:space="preserve">Inductor ripple fraction</x:t>
  </x:si>
  <x:si>
    <x:t xml:space="preserve">Fraction of IC rated current</x:t>
  </x:si>
  <x:si>
    <x:t xml:space="preserve">Efficiency</x:t>
  </x:si>
  <x:si>
    <x:t xml:space="preserve">Assumed at average and design load</x:t>
  </x:si>
  <x:si>
    <x:t xml:space="preserve">Output ripple target</x:t>
  </x:si>
  <x:si>
    <x:t xml:space="preserve">mV p-p</x:t>
  </x:si>
  <x:si>
    <x:t xml:space="preserve">Proposed; at converter design current</x:t>
  </x:si>
  <x:si>
    <x:t xml:space="preserve">Ripple measurement bandwidth</x:t>
  </x:si>
  <x:si>
    <x:t xml:space="preserve">MHz</x:t>
  </x:si>
  <x:si>
    <x:t xml:space="preserve">Short ground spring at output capacitors</x:t>
  </x:si>
  <x:si>
    <x:t xml:space="preserve">Electrical Parameters</x:t>
  </x:si>
  <x:si>
    <x:t xml:space="preserve">IC output current rating</x:t>
  </x:si>
  <x:si>
    <x:t xml:space="preserve">Continuous capability still needs thermal sizing</x:t>
  </x:si>
  <x:si>
    <x:t xml:space="preserve">Guide current factor</x:t>
  </x:si>
  <x:si>
    <x:t xml:space="preserve">Feedback reference</x:t>
  </x:si>
  <x:si>
    <x:t xml:space="preserve">datasheet</x:t>
  </x:si>
  <x:si>
    <x:t xml:space="preserve">High-side current limit, max</x:t>
  </x:si>
  <x:si>
    <x:t xml:space="preserve">Inductor fault sizing; not output rating</x:t>
  </x:si>
  <x:si>
    <x:t xml:space="preserve">Design Calculations</x:t>
  </x:si>
  <x:si>
    <x:t xml:space="preserve">Guide current ceiling</x:t>
  </x:si>
  <x:si>
    <x:t xml:space="preserve">Unused circuit allocation</x:t>
  </x:si>
  <x:si>
    <x:t xml:space="preserve">Allocation minus budget load</x:t>
  </x:si>
  <x:si>
    <x:t xml:space="preserve">Duty cycle, high Vin</x:t>
  </x:si>
  <x:si>
    <x:t xml:space="preserve">Ideal CCM</x:t>
  </x:si>
  <x:si>
    <x:t xml:space="preserve">Duty cycle, low Vin</x:t>
  </x:si>
  <x:si>
    <x:t xml:space="preserve">Target inductor ripple</x:t>
  </x:si>
  <x:si>
    <x:t xml:space="preserve">A p-p</x:t>
  </x:si>
  <x:si>
    <x:t xml:space="preserve">TI uses IC rated current</x:t>
  </x:si>
  <x:si>
    <x:t xml:space="preserve">Inductor, calculated</x:t>
  </x:si>
  <x:si>
    <x:t xml:space="preserve">uH</x:t>
  </x:si>
  <x:si>
    <x:t xml:space="preserve">Ideal CCM; TI section 9.2.2.3</x:t>
  </x:si>
  <x:si>
    <x:t xml:space="preserve">Inductor, chosen</x:t>
  </x:si>
  <x:si>
    <x:t xml:space="preserve">Ripple with chosen inductor</x:t>
  </x:si>
  <x:si>
    <x:t xml:space="preserve">Nominal frequency and inductance</x:t>
  </x:si>
  <x:si>
    <x:t xml:space="preserve">Inductor peak current</x:t>
  </x:si>
  <x:si>
    <x:t xml:space="preserve">Operating peak; check fault current separately</x:t>
  </x:si>
  <x:si>
    <x:t xml:space="preserve">Inductor RMS current</x:t>
  </x:si>
  <x:si>
    <x:t xml:space="preserve">CCM, design current</x:t>
  </x:si>
  <x:si>
    <x:t xml:space="preserve">Average output power</x:t>
  </x:si>
  <x:si>
    <x:t xml:space="preserve">Design-load output power</x:t>
  </x:si>
  <x:si>
    <x:t xml:space="preserve">Uses budget load, not full allocation</x:t>
  </x:si>
  <x:si>
    <x:t xml:space="preserve">Average input power</x:t>
  </x:si>
  <x:si>
    <x:t xml:space="preserve">Design-load input power</x:t>
  </x:si>
  <x:si>
    <x:t xml:space="preserve">Average converter loss</x:t>
  </x:si>
  <x:si>
    <x:t xml:space="preserve">Whole converter, not IC alone</x:t>
  </x:si>
  <x:si>
    <x:t xml:space="preserve">Design-load converter loss</x:t>
  </x:si>
  <x:si>
    <x:t xml:space="preserve">Feedback and Output Capacitors</x:t>
  </x:si>
  <x:si>
    <x:t xml:space="preserve">R bottom, chosen</x:t>
  </x:si>
  <x:si>
    <x:t xml:space="preserve">ohm</x:t>
  </x:si>
  <x:si>
    <x:t xml:space="preserve">FB to ground</x:t>
  </x:si>
  <x:si>
    <x:t xml:space="preserve">R top, calculated</x:t>
  </x:si>
  <x:si>
    <x:t xml:space="preserve">Output to FB</x:t>
  </x:si>
  <x:si>
    <x:t xml:space="preserve">R top, chosen</x:t>
  </x:si>
  <x:si>
    <x:t xml:space="preserve">TBD</x:t>
  </x:si>
  <x:si>
    <x:t xml:space="preserve">Output with chosen divider</x:t>
  </x:si>
  <x:si>
    <x:t xml:space="preserve">Nominal; reference / resistor tolerance separate</x:t>
  </x:si>
  <x:si>
    <x:t xml:space="preserve">Output capacitance, nominal</x:t>
  </x:si>
  <x:si>
    <x:t xml:space="preserve">uF</x:t>
  </x:si>
  <x:si>
    <x:t xml:space="preserve">In Flux rn...</x:t>
  </x:si>
  <x:si>
    <x:t xml:space="preserve">Capacitance retained</x:t>
  </x:si>
  <x:si>
    <x:t xml:space="preserve">DC Bias</x:t>
  </x:si>
  <x:si>
    <x:t xml:space="preserve">Output capacitance, effective</x:t>
  </x:si>
  <x:si>
    <x:t xml:space="preserve">Must also satisfy IC stability / transient needs</x:t>
  </x:si>
  <x:si>
    <x:t xml:space="preserve">Output bank ESR</x:t>
  </x:si>
  <x:si>
    <x:t xml:space="preserve">At switching frequency</x:t>
  </x:si>
  <x:si>
    <x:t xml:space="preserve">Estimated output ripple</x:t>
  </x:si>
  <x:si>
    <x:t xml:space="preserve">CCM estimate; excludes ESL and switching spikes</x:t>
  </x:si>
  <x:si>
    <x:t xml:space="preserve">Inductor part</x:t>
  </x:si>
  <x:si>
    <x:t xml:space="preserve">Output capacitor part</x:t>
  </x:si>
  <x:si>
    <x:t xml:space="preserve">TPS62933FDRLR RF 5 V</x:t>
  </x:si>
  <x:si>
    <x:t xml:space="preserve">Battery only; transients separate</x:t>
  </x:si>
  <x:si>
    <x:t xml:space="preserve">Initial 500 kHz; RT floating</x:t>
  </x:si>
  <x:si>
    <x:t xml:space="preserve">SD-100001 current derating rule</x:t>
  </x:si>
  <x:si>
    <x:t xml:space="preserve">Nominal; datasheet</x:t>
  </x:si>
  <x:si>
    <x:t xml:space="preserve">Ideal CCM; TI section 10.2.2.7</x:t>
  </x:si>
  <x:si>
    <x:t xml:space="preserve">TBD; check IC range, tolerance and DC bias</x:t>
  </x:si>
  <x:si>
    <x:t xml:space="preserve">Input voltage</x:t>
  </x:si>
  <x:si>
    <x:t xml:space="preserve">Nominal</x:t>
  </x:si>
  <x:si>
    <x:t xml:space="preserve">Design output current</x:t>
  </x:si>
  <x:si>
    <x:t xml:space="preserve">Startup order</x:t>
  </x:si>
  <x:si>
    <x:t xml:space="preserve">SD-100001</x:t>
  </x:si>
  <x:si>
    <x:t xml:space="preserve">Nominal at 25 C</x:t>
  </x:si>
  <x:si>
    <x:t xml:space="preserve">Datasheet theta JA</x:t>
  </x:si>
  <x:si>
    <x:t xml:space="preserve">C/W</x:t>
  </x:si>
  <x:si>
    <x:t xml:space="preserve">JEDEC metric, DRV package</x:t>
  </x:si>
  <x:si>
    <x:t xml:space="preserve">Ambient temperature</x:t>
  </x:si>
  <x:si>
    <x:t xml:space="preserve">C</x:t>
  </x:si>
  <x:si>
    <x:t xml:space="preserve">Malcom Screenshot + 5C</x:t>
  </x:si>
  <x:si>
    <x:t xml:space="preserve">Unused guide allowance</x:t>
  </x:si>
  <x:si>
    <x:t xml:space="preserve">Nominal voltage headroom</x:t>
  </x:si>
  <x:si>
    <x:t xml:space="preserve">Minimum input / maximum output still to check</x:t>
  </x:si>
  <x:si>
    <x:t xml:space="preserve">Average dissipation</x:t>
  </x:si>
  <x:si>
    <x:t xml:space="preserve">Quiescent loss covered by battery overhead</x:t>
  </x:si>
  <x:si>
    <x:t xml:space="preserve">Design dissipation</x:t>
  </x:si>
  <x:si>
    <x:t xml:space="preserve">Design input power</x:t>
  </x:si>
  <x:si>
    <x:t xml:space="preserve">Tj using datasheet theta JA</x:t>
  </x:si>
  <x:si>
    <x:t xml:space="preserve">Feedback and Output Capacitor</x:t>
  </x:si>
  <x:si>
    <x:t xml:space="preserve">Nominal; tolerance calculation still needed</x:t>
  </x:si>
  <x:si>
    <x:t xml:space="preserve">Use DC-bias curve, tolerance and temperature</x:t>
  </x:si>
  <x:si>
    <x:t xml:space="preserve">Datasheet, not super real</x:t>
  </x:si>
  <x:si>
    <x:t xml:space="preserve">Planning assumption</x:t>
  </x:si>
  <x:si>
    <x:t xml:space="preserve">not super real but we will use</x:t>
  </x:si>
</x:sst>
</file>

<file path=xl/styles.xml><?xml version="1.0" encoding="utf-8"?>
<x:styleSheet xmlns:x="http://schemas.openxmlformats.org/spreadsheetml/2006/main">
  <x:numFmts count="12">
    <x:numFmt numFmtId="164" formatCode="0.0"/>
    <x:numFmt numFmtId="165" formatCode="0.000"/>
    <x:numFmt numFmtId="166" formatCode="0.0%"/>
    <x:numFmt numFmtId="200" formatCode="0"/>
    <x:numFmt numFmtId="201" formatCode="#,##0"/>
    <x:numFmt numFmtId="202" formatCode="0.00"/>
    <x:numFmt numFmtId="203" formatCode="0.000000"/>
    <x:numFmt numFmtId="204" formatCode="0.0000"/>
    <x:numFmt numFmtId="205" formatCode="0.00000"/>
    <x:numFmt numFmtId="206" formatCode="yyyy-mm-dd"/>
    <x:numFmt numFmtId="207" formatCode="@"/>
    <x:numFmt numFmtId="208" formatCode="0%"/>
  </x:numFmts>
  <x:fonts count="7">
    <x:font>
      <x:sz val="11"/>
      <x:color rgb="FF000000"/>
      <x:name val="Carlito"/>
    </x:font>
    <x:font>
      <x:b/>
      <x:sz val="18"/>
      <x:color rgb="FFE06666"/>
      <x:name val="Space Grotesk"/>
    </x:font>
    <x:font>
      <x:sz val="11"/>
      <x:color rgb="FF000000"/>
      <x:name val="Space Grotesk"/>
    </x:font>
    <x:font>
      <x:b/>
      <x:sz val="14"/>
      <x:color rgb="FF000000"/>
      <x:name val="Space Grotesk"/>
    </x:font>
    <x:font>
      <x:color theme="1"/>
      <x:name val="Space Grotesk"/>
    </x:font>
    <x:font>
      <x:b/>
      <x:sz val="14"/>
      <x:color rgb="FF6AA84F"/>
      <x:name val="Space Grotesk"/>
    </x:font>
    <x:font>
      <x:b/>
      <x:sz val="11"/>
      <x:color rgb="FF000000"/>
      <x:name val="Space Grotesk"/>
    </x:font>
  </x:fonts>
  <x:fills count="7">
    <x:fill>
      <x:patternFill patternType="none"/>
    </x:fill>
    <x:fill>
      <x:patternFill patternType="lightGray"/>
    </x:fill>
    <x:fill>
      <x:patternFill patternType="solid">
        <x:fgColor rgb="FFB6D7A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 applyFont="1" applyAlignment="1"/>
  </x:cellStyleXfs>
  <x:cellXfs count="12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/>
    <x:xf numFmtId="0" fontId="3" fillId="2" borderId="0" xfId="0" applyFont="1" applyFill="1"/>
    <x:xf numFmtId="0" fontId="4" fillId="0" borderId="0" xfId="0" applyFont="1"/>
    <x:xf numFmtId="0" fontId="5" fillId="0" borderId="0" xfId="0" applyFont="1" applyAlignment="1">
      <x:alignment horizontal="center"/>
    </x:xf>
    <x:xf numFmtId="0" fontId="6" fillId="0" borderId="0" xfId="0" applyFont="1"/>
    <x:xf numFmtId="1" fontId="2" fillId="0" borderId="0" xfId="0" applyNumberFormat="1" applyFont="1"/>
    <x:xf numFmtId="2" fontId="2" fillId="0" borderId="0" xfId="0" applyNumberFormat="1" applyFont="1"/>
    <x:xf numFmtId="0" fontId="2" fillId="0" borderId="0" xfId="0" applyFont="1" applyAlignment="1"/>
    <x:xf numFmtId="164" fontId="2" fillId="0" borderId="0" xfId="0" applyNumberFormat="1" applyFont="1"/>
    <x:xf numFmtId="165" fontId="2" fillId="0" borderId="0" xfId="0" applyNumberFormat="1" applyFont="1"/>
    <x:xf numFmtId="9" fontId="2" fillId="0" borderId="0" xfId="0" applyNumberFormat="1" applyFont="1"/>
    <x:xf numFmtId="166" fontId="2" fillId="0" borderId="0" xfId="0" applyNumberFormat="1" applyFont="1"/>
    <x:xf numFmtId="0" fontId="6" fillId="0" borderId="0" xfId="0" applyFont="1" applyAlignment="1">
      <x:alignment horizontal="center"/>
    </x:xf>
    <x:xf numFmtId="2" fontId="6" fillId="0" borderId="0" xfId="0" applyNumberFormat="1" applyFont="1"/>
    <x:xf numFmtId="165" fontId="2" fillId="0" borderId="0" xfId="0" applyNumberFormat="1" applyFont="1" applyAlignment="1"/>
    <x:xf numFmtId="164" fontId="2" fillId="0" borderId="0" xfId="0" applyNumberFormat="1" applyFont="1" applyAlignment="1"/>
    <x:xf numFmtId="0" fontId="2" fillId="0" borderId="0" xfId="0" applyNumberFormat="1" applyFont="1" applyFill="1" applyBorder="1" applyAlignment="1">
      <x:alignment vertical="bottom" wrapText="0"/>
    </x:xf>
    <x:xf numFmtId="165" fontId="2" fillId="0" borderId="0" xfId="0" applyNumberFormat="1" applyFont="1" applyFill="1" applyBorder="1" applyAlignment="1">
      <x:alignment vertical="bottom" wrapText="0"/>
    </x:xf>
    <x:xf numFmtId="200" fontId="2" fillId="0" borderId="0" xfId="0" applyNumberFormat="1" applyFont="1" applyFill="1" applyBorder="1" applyAlignment="1">
      <x:alignment vertical="bottom" wrapText="0"/>
    </x:xf>
    <x:xf numFmtId="166" fontId="2" fillId="0" borderId="0" xfId="0" applyNumberFormat="1" applyFont="1" applyFill="1" applyBorder="1" applyAlignment="1">
      <x:alignment vertical="bottom" wrapText="0"/>
    </x:xf>
    <x:xf numFmtId="0" fontId="2" fillId="0" borderId="0" xfId="0" applyNumberFormat="1" applyFont="1" applyFill="1" applyBorder="1" applyAlignment="1">
      <x:alignment horizontal="center" vertical="bottom" wrapText="0"/>
    </x:xf>
    <x:xf numFmtId="0" fontId="6" fillId="0" borderId="0" xfId="0" applyNumberFormat="1" applyFont="1" applyFill="1" applyBorder="1" applyAlignment="1">
      <x:alignment horizontal="center" vertical="bottom" wrapText="0"/>
    </x:xf>
    <x:xf numFmtId="165" fontId="2" fillId="0" borderId="0" xfId="0" applyNumberFormat="1" applyFont="1" applyFill="1" applyBorder="1" applyAlignment="1">
      <x:alignment horizontal="center" vertical="bottom" wrapText="0"/>
    </x:xf>
    <x:xf numFmtId="165" fontId="6" fillId="0" borderId="0" xfId="0" applyNumberFormat="1" applyFont="1" applyFill="1" applyBorder="1" applyAlignment="1">
      <x:alignment horizontal="center" vertical="bottom" wrapText="0"/>
    </x:xf>
    <x:xf numFmtId="0" fontId="5" fillId="0" borderId="0" xfId="0" applyNumberFormat="1" applyFont="1" applyFill="1" applyBorder="1" applyAlignment="1">
      <x:alignment horizontal="center" vertical="bottom" wrapText="0"/>
    </x:xf>
    <x:xf numFmtId="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vertical="bottom" wrapText="0"/>
    </x:xf>
    <x:xf numFmtId="164" fontId="2" fillId="0" borderId="0" xfId="0" applyNumberFormat="1" applyFont="1" applyFill="1" applyBorder="1" applyAlignment="1">
      <x:alignment vertical="bottom" wrapText="0"/>
    </x:xf>
    <x:xf numFmtId="0" fontId="5" fillId="0" borderId="0" xfId="0" applyNumberFormat="1" applyFont="1" applyFill="1" applyBorder="1" applyAlignment="1">
      <x:alignment horizontal="center" vertical="bottom" wrapText="1"/>
    </x:xf>
    <x:xf numFmtId="0" fontId="2" fillId="0" borderId="0" xfId="0" applyNumberFormat="1" applyFont="1" applyFill="1" applyBorder="1" applyAlignment="1">
      <x:alignment vertical="bottom" wrapText="1"/>
    </x:xf>
    <x:xf numFmtId="0" fontId="6" fillId="0" borderId="0" xfId="0" applyNumberFormat="1" applyFont="1" applyFill="1" applyBorder="1" applyAlignment="1">
      <x:alignment horizontal="center" vertical="bottom" wrapText="1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165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6" fontId="2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wrapText="1"/>
    </x:xf>
    <x:xf numFmtId="165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vertical="center"/>
    </x:xf>
    <x:xf numFmtId="165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horizontal="center" vertical="center"/>
    </x:xf>
    <x:xf numFmtId="165" fontId="2" fillId="3" borderId="0" xfId="0" applyNumberFormat="1" applyFont="1" applyFill="1" applyBorder="1" applyAlignment="1">
      <x:alignment horizontal="center" vertical="center"/>
    </x:xf>
    <x:xf numFmtId="202" fontId="2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horizontal="center" vertical="center"/>
    </x:xf>
    <x:xf numFmtId="165" fontId="2" fillId="3" borderId="2" xfId="0" applyNumberFormat="1" applyFont="1" applyFill="1" applyBorder="1" applyAlignment="1">
      <x:alignment horizontal="center" vertical="center"/>
    </x:xf>
    <x:xf numFmtId="202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horizontal="center" vertical="center"/>
    </x:xf>
    <x:xf numFmtId="165" fontId="2" fillId="3" borderId="3" xfId="0" applyNumberFormat="1" applyFont="1" applyFill="1" applyBorder="1" applyAlignment="1">
      <x:alignment horizontal="center" vertical="center"/>
    </x:xf>
    <x:xf numFmtId="202" fontId="2" fillId="3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/>
    </x:xf>
    <x:xf numFmtId="204" fontId="2" fillId="4" borderId="0" xfId="0" applyNumberFormat="1" applyFont="1" applyFill="1" applyBorder="1" applyAlignment="1">
      <x:alignment vertical="center"/>
    </x:xf>
    <x:xf numFmtId="165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164" fontId="2" fillId="4" borderId="0" xfId="0" applyNumberFormat="1" applyFont="1" applyFill="1" applyBorder="1" applyAlignment="1">
      <x:alignment vertical="center"/>
    </x:xf>
    <x:xf numFmtId="207" fontId="2" fillId="3" borderId="2" xfId="0" applyNumberFormat="1" applyFont="1" applyFill="1" applyBorder="1" applyAlignment="1">
      <x:alignment horizontal="center" vertical="center"/>
    </x:xf>
    <x:xf numFmtId="207" fontId="2" fillId="3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2" fontId="2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208" fontId="2" fillId="6" borderId="0" xfId="0" applyNumberFormat="1" applyFont="1" applyFill="1" applyBorder="1" applyAlignment="1">
      <x:alignment vertical="center" wrapText="1"/>
    </x:xf>
    <x:xf numFmtId="200" fontId="2" fillId="6" borderId="0" xfId="0" applyNumberFormat="1" applyFont="1" applyFill="1" applyBorder="1" applyAlignment="1">
      <x:alignment vertical="center" wrapText="1"/>
    </x:xf>
    <x:xf numFmtId="165" fontId="2" fillId="6" borderId="0" xfId="0" applyNumberFormat="1" applyFont="1" applyFill="1" applyBorder="1" applyAlignment="1">
      <x:alignment vertical="center" wrapText="1"/>
    </x:xf>
    <x:xf numFmtId="202" fontId="2" fillId="6" borderId="0" xfId="0" applyNumberFormat="1" applyFont="1" applyFill="1" applyBorder="1" applyAlignment="1">
      <x:alignment vertical="center" wrapText="1"/>
    </x:xf>
    <x:xf numFmtId="201" fontId="2" fillId="6" borderId="0" xfId="0" applyNumberFormat="1" applyFont="1" applyFill="1" applyBorder="1" applyAlignment="1">
      <x:alignment vertical="center" wrapText="1"/>
    </x:xf>
    <x:xf numFmtId="204" fontId="2" fillId="6" borderId="0" xfId="0" applyNumberFormat="1" applyFont="1" applyFill="1" applyBorder="1" applyAlignment="1">
      <x:alignment vertical="center" wrapText="1"/>
    </x:xf>
    <x:xf numFmtId="201" fontId="2" fillId="6" borderId="2" xfId="0" applyNumberFormat="1" applyFont="1" applyFill="1" applyBorder="1" applyAlignment="1">
      <x:alignment vertical="center" wrapText="1"/>
    </x:xf>
    <x:xf numFmtId="204" fontId="2" fillId="6" borderId="2" xfId="0" applyNumberFormat="1" applyFont="1" applyFill="1" applyBorder="1" applyAlignment="1">
      <x:alignment vertical="center" wrapText="1"/>
    </x:xf>
    <x:xf numFmtId="202" fontId="2" fillId="6" borderId="3" xfId="0" applyNumberFormat="1" applyFont="1" applyFill="1" applyBorder="1" applyAlignment="1">
      <x:alignment vertical="center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204" fontId="2" fillId="3" borderId="2" xfId="0" applyNumberFormat="1" applyFont="1" applyFill="1" applyBorder="1" applyAlignment="1">
      <x:alignment horizontal="center" vertical="center" wrapText="1"/>
    </x:xf>
    <x:xf numFmtId="202" fontId="2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fa78308154dba" /><Relationship Type="http://schemas.openxmlformats.org/officeDocument/2006/relationships/theme" Target="/xl/theme/theme1.xml" Id="R85daf9c299ec4ad7" /><Relationship Type="http://schemas.openxmlformats.org/officeDocument/2006/relationships/sharedStrings" Target="/xl/sharedStrings.xml" Id="Rb0a8d327eab44378" /><Relationship Type="http://schemas.openxmlformats.org/officeDocument/2006/relationships/worksheet" Target="/xl/worksheets/sheet1.xml" Id="R79d10b81780f49cc" /><Relationship Type="http://schemas.openxmlformats.org/officeDocument/2006/relationships/worksheet" Target="/xl/worksheets/sheet2.xml" Id="Rde21f750b68a482e" /><Relationship Type="http://schemas.openxmlformats.org/officeDocument/2006/relationships/worksheet" Target="/xl/worksheets/sheet3.xml" Id="Re2edf2f871424f52" /><Relationship Type="http://schemas.openxmlformats.org/officeDocument/2006/relationships/worksheet" Target="/xl/worksheets/sheet4.xml" Id="R9fc9bb82f9d54666" /><Relationship Type="http://schemas.openxmlformats.org/officeDocument/2006/relationships/worksheet" Target="/xl/worksheets/sheet5.xml" Id="R5861919770d74866" /><Relationship Type="http://schemas.openxmlformats.org/officeDocument/2006/relationships/worksheet" Target="/xl/worksheets/sheet6.xml" Id="Re38da3fce7154828" /><Relationship Type="http://schemas.openxmlformats.org/officeDocument/2006/relationships/worksheet" Target="/xl/worksheets/sheet7.xml" Id="R713e178bda4342fa" /><Relationship Type="http://schemas.microsoft.com/office/2017/10/relationships/person" Target="/xl/persons/person.xml" Id="Rd9b04ced3fcd4180" /></Relationships>
</file>

<file path=xl/persons/person.xml><?xml version="1.0" encoding="utf-8"?>
<xltc:personList xmlns:xltc="http://schemas.microsoft.com/office/spreadsheetml/2018/threadedcomments">
  <xltc:person displayName="Unknown author" id="{DA31F86D-8ECC-434B-833A-235EC904163D}" providerId="google-sheets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2" dT="2026-09-21T00:57:25" personId="{DA31F86D-8ECC-434B-833A-235EC904163D}" id="{6BB73559-F542-493F-B319-D0BC0A48ED24}" done="1">
    <xltc:text>Legacy project estimate for two cameras: 129 mA at 4 V and 194 mA at 1.8 V. Not measured startup limits. Recheck FRAMOS FSM:GO-IMX900 sections 5.2–5.4 and measure both rails. https://www.mouser.com/catalog/specsheets/FRAMOS_2-12-2026_FSM.GO-IMX900_Datasheet_v1.2a.pdf</xltc:text>
  </xltc:threadedComment>
  <xltc:threadedComment ref="B31" dT="2026-09-21T00:57:25" personId="{DA31F86D-8ECC-434B-833A-235EC904163D}" id="{E2CD30E8-8148-4275-A0F1-BA443E195CB2}" done="1">
    <xltc:text>CM5 datasheet, external power and connector pin table: https://datasheets.raspberrypi.com/cm5/cm5-datasheet.pdf</xltc:text>
  </xltc:threadedComment>
  <xltc:threadedComment ref="D9" dT="2026-09-21T00:57:25" personId="{DA31F86D-8ECC-434B-833A-235EC904163D}" id="{84007819-7442-4336-9266-9F7453861861}" done="1">
    <xltc:text>3 A is a planning assumption, not a dual-encode benchmark. CM5 power data excludes external 3.3 V / 1.8 V loads. CM5 datasheet sections 3.3–3.4: https://datasheets.raspberrypi.com/cm5/cm5-datasheet.pdf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4" dT="2026-09-21T00:57:25" personId="{DA31F86D-8ECC-434B-833A-235EC904163D}" id="{E51AA089-0CD1-4DA0-BD12-F24F6AD0BB84}" done="1">
    <xltc:text>TI SLVA477B equations 12–13: deltaV approximately deltaI [ESR + 1/(8 fs C)]. Nominal CCM estimate, not a transient/stability verification. https://www.ti.com/lit/an/slva477b/slva477b.pdf</xltc:text>
  </xltc:threadedComment>
  <xltc:threadedComment ref="B31" dT="2026-09-21T00:57:25" personId="{DA31F86D-8ECC-434B-833A-235EC904163D}" id="{9BA3E804-3657-472B-B5D7-648D80AC5406}" done="1">
    <xltc:text>Ideal buck CCM: L = Vout (1 - Vout/Vin) / (deltaI * fs). TI SLVA477B, inductor selection. Use component tolerances and IC-specific permitted L/C values before selection. https://www.ti.com/lit/an/slva477b/slva477b.pdf</xltc:text>
  </xltc:threadedComment>
  <xltc:threadedComment ref="B21" dT="2026-09-21T00:57:25" personId="{DA31F86D-8ECC-434B-833A-235EC904163D}" id="{2710D78E-C19D-41E0-864E-9D1B2F78213D}" done="1">
    <xltc:text>LM61495RPHR datasheet electrical characteristics and output-voltage setting. https://www.ti.com/lit/ds/symlink/lm61495.pdf</xltc:text>
  </xltc:threadedComment>
  <xltc:threadedComment ref="B10" dT="2026-09-21T00:57:25" personId="{DA31F86D-8ECC-434B-833A-235EC904163D}" id="{A55846E2-28EF-4FB5-8B64-E791CA61FC18}" done="1">
    <xltc:text>Frequency configuration from the LM61495RPHR datasheet. https://www.ti.com/lit/ds/symlink/lm61495.pdf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4" dT="2026-09-21T00:57:25" personId="{DA31F86D-8ECC-434B-833A-235EC904163D}" id="{312053A0-189B-4D92-AEF5-5C8BB870B313}" done="1">
    <xltc:text>TI SLVA477B equations 12–13: deltaV approximately deltaI [ESR + 1/(8 fs C)]. Nominal CCM estimate, not a transient/stability verification. https://www.ti.com/lit/an/slva477b/slva477b.pdf</xltc:text>
  </xltc:threadedComment>
  <xltc:threadedComment ref="B31" dT="2026-09-21T00:57:25" personId="{DA31F86D-8ECC-434B-833A-235EC904163D}" id="{E239A955-3EF9-464C-950C-90440AA8990D}" done="1">
    <xltc:text>Ideal buck CCM: L = Vout (1 - Vout/Vin) / (deltaI * fs). TI SLVA477B, inductor selection. Use component tolerances and IC-specific permitted L/C values before selection. https://www.ti.com/lit/an/slva477b/slva477b.pdf</xltc:text>
  </xltc:threadedComment>
  <xltc:threadedComment ref="B10" dT="2026-09-21T00:57:25" personId="{DA31F86D-8ECC-434B-833A-235EC904163D}" id="{4614C22F-26B0-44E3-87FF-B8DCB1E2C027}" done="1">
    <xltc:text>Frequency configuration from the TPS62933FDRLR datasheet. https://www.ti.com/lit/ds/symlink/tps62933.pdf</xltc:text>
  </xltc:threadedComment>
  <xltc:threadedComment ref="B21" dT="2026-09-21T00:57:25" personId="{DA31F86D-8ECC-434B-833A-235EC904163D}" id="{B2A51E7D-00E6-447E-930D-4AB10935E5FF}" done="1">
    <xltc:text>TPS62933FDRLR datasheet electrical characteristics and output-voltage setting. https://www.ti.com/lit/ds/symlink/tps62933.pdf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16" dT="2026-09-21T00:57:25" personId="{DA31F86D-8ECC-434B-833A-235EC904163D}" id="{92EB0A76-82D4-4C72-9CD2-422ED361EEC5}" done="1">
    <xltc:text>TI TLV758P datasheet, sections 5.4–5.5: DRV WSON theta JA 80.3 C/W; VFB 0.55 V nominal. These are datasheet conditions, not a validated enclosure thermal result. https://www.ti.com/lit/ds/symlink/tlv758p.pdf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16" dT="2026-09-21T00:57:25" personId="{DA31F86D-8ECC-434B-833A-235EC904163D}" id="{089FE2BC-0036-463C-892C-9C806D015F29}" done="1">
    <xltc:text>TI TLV758P datasheet, sections 5.4–5.5: DRV WSON theta JA 80.3 C/W; VFB 0.55 V nominal. These are datasheet conditions, not a validated enclosure thermal result. https://www.ti.com/lit/ds/symlink/tlv758p.pdf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16fe1e5413b4a90" /><Relationship Type="http://schemas.openxmlformats.org/officeDocument/2006/relationships/vmlDrawing" Target="/xl/drawings/vmldrawing.vml" Id="R28bcfc78169e4d0c" /><Relationship Type="http://schemas.microsoft.com/office/2017/10/relationships/threadedComment" Target="/xl/threadedcomments/threadedcomment.xml" Id="R90d64907522a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ti.com/lit/ds/symlink/lm61495.pdf?ts=1789882750881" TargetMode="External" Id="R59e0f7a660524a8e" /><Relationship Type="http://schemas.openxmlformats.org/officeDocument/2006/relationships/comments" Target="/xl/comments2.xml" Id="Rdc4968e07f8a4d39" /><Relationship Type="http://schemas.openxmlformats.org/officeDocument/2006/relationships/vmlDrawing" Target="/xl/drawings/vmldrawing2.vml" Id="R94c80593ae6a44a5" /><Relationship Type="http://schemas.microsoft.com/office/2017/10/relationships/threadedComment" Target="/xl/threadedcomments/threadedcomment2.xml" Id="R7c0490d1eac6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ti.com/lit/ds/symlink/tps62933f.pdf?ts=1789952708791&amp;ref_url=https%253A%252F%252Fwww.ti.com%252Fproduct%252FTPS62933F%252Fpart-details%252FTPS62933FDRLR" TargetMode="External" Id="R682fc366dd3047a6" /><Relationship Type="http://schemas.openxmlformats.org/officeDocument/2006/relationships/comments" Target="/xl/comments3.xml" Id="R60b68a56d0754875" /><Relationship Type="http://schemas.openxmlformats.org/officeDocument/2006/relationships/vmlDrawing" Target="/xl/drawings/vmldrawing3.vml" Id="Rbd09844828bb4d27" /><Relationship Type="http://schemas.microsoft.com/office/2017/10/relationships/threadedComment" Target="/xl/threadedcomments/threadedcomment3.xml" Id="R4415eff4fd584a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ti.com/lit/ds/symlink/tlv758p.pdf?ts=1789894690403&amp;ref_url=https%253A%252F%252Fwww.ti.com%252Fproduct%252FTLV758P" TargetMode="External" Id="R455ca13b36524d85" /><Relationship Type="http://schemas.openxmlformats.org/officeDocument/2006/relationships/comments" Target="/xl/comments4.xml" Id="R1bceaffa2d504c23" /><Relationship Type="http://schemas.openxmlformats.org/officeDocument/2006/relationships/vmlDrawing" Target="/xl/drawings/vmldrawing4.vml" Id="R5ac922283d0c4a4e" /><Relationship Type="http://schemas.microsoft.com/office/2017/10/relationships/threadedComment" Target="/xl/threadedcomments/threadedcomment4.xml" Id="R0bf9dc4a83764c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ti.com/lit/ds/symlink/tlv758p.pdf?ts=1789894690403&amp;ref_url=https%253A%252F%252Fwww.ti.com%252Fproduct%252FTLV758P" TargetMode="External" Id="R11c5110693dc478b" /><Relationship Type="http://schemas.openxmlformats.org/officeDocument/2006/relationships/comments" Target="/xl/comments5.xml" Id="R9e1275baa4254b1f" /><Relationship Type="http://schemas.openxmlformats.org/officeDocument/2006/relationships/vmlDrawing" Target="/xl/drawings/vmldrawing5.vml" Id="R7a7ee2d4cdbe4f06" /><Relationship Type="http://schemas.microsoft.com/office/2017/10/relationships/threadedComment" Target="/xl/threadedcomments/threadedcomment5.xml" Id="R6c278db6f3a14443" /></Relationships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ColWidth="12.630000114440918" defaultRowHeight="15"/>
  <x:cols>
    <x:col min="1" max="1" width="29" customWidth="1"/>
    <x:col min="2" max="2" width="17" customWidth="1"/>
    <x:col min="3" max="3" width="8" customWidth="1"/>
    <x:col min="4" max="4" width="13" customWidth="1"/>
    <x:col min="5" max="5" width="14" customWidth="1"/>
    <x:col min="6" max="7" width="12" customWidth="1"/>
    <x:col min="8" max="8" width="29" customWidth="1"/>
    <x:col min="9" max="26" width="8.630000114440918" customWidth="1"/>
  </x:cols>
  <x:sheetData>
    <x:row r="1" ht="21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2"/>
      <x:c r="B2" s="2"/>
      <x:c r="C2" s="2"/>
      <x:c r="D2" s="2"/>
      <x:c r="E2" s="2"/>
      <x:c r="F2" s="2"/>
      <x:c r="G2" s="2"/>
      <x:c r="H2" s="2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2" t="s">
        <x:v>1</x:v>
      </x:c>
      <x:c r="B3" s="10" t="n">
        <x:f>Battery!B21</x:f>
        <x:v>30.335642701525053</x:v>
      </x:c>
      <x:c r="C3" s="2"/>
      <x:c r="D3" s="2"/>
      <x:c r="E3" s="2"/>
      <x:c r="F3" s="2"/>
      <x:c r="G3" s="2"/>
      <x:c r="H3" s="2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2" t="s">
        <x:v>2</x:v>
      </x:c>
      <x:c r="B4" s="10" t="n">
        <x:f>Battery!B24</x:f>
        <x:v>85.44404433764291</x:v>
      </x:c>
      <x:c r="C4" s="2"/>
      <x:c r="D4" s="2"/>
      <x:c r="E4" s="2"/>
      <x:c r="F4" s="2"/>
      <x:c r="G4" s="2"/>
      <x:c r="H4" s="2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2" t="s">
        <x:v>3</x:v>
      </x:c>
      <x:c r="B5" s="10" t="n">
        <x:f>'LM61495 Main 5V'!B8</x:f>
        <x:v>6.308666666666666</x:v>
      </x:c>
      <x:c r="C5" s="2"/>
      <x:c r="D5" s="2"/>
      <x:c r="E5" s="2"/>
      <x:c r="F5" s="2"/>
      <x:c r="G5" s="2"/>
      <x:c r="H5" s="2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2"/>
      <x:c r="B6" s="2"/>
      <x:c r="C6" s="2"/>
      <x:c r="D6" s="2"/>
      <x:c r="E6" s="2"/>
      <x:c r="F6" s="2"/>
      <x:c r="G6" s="2"/>
      <x:c r="H6" s="2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2"/>
      <x:c r="B7" s="2"/>
      <x:c r="C7" s="2"/>
      <x:c r="D7" s="2"/>
      <x:c r="E7" s="2"/>
      <x:c r="F7" s="2"/>
      <x:c r="G7" s="2"/>
      <x:c r="H7" s="2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6" t="s">
        <x:v>4</x:v>
      </x:c>
      <x:c r="B8" s="6" t="s">
        <x:v>5</x:v>
      </x:c>
      <x:c r="C8" s="6" t="s">
        <x:v>6</x:v>
      </x:c>
      <x:c r="D8" s="6" t="s">
        <x:v>7</x:v>
      </x:c>
      <x:c r="E8" s="6" t="s">
        <x:v>8</x:v>
      </x:c>
      <x:c r="F8" s="6" t="s">
        <x:v>9</x:v>
      </x:c>
      <x:c r="G8" s="6" t="s">
        <x:v>10</x:v>
      </x:c>
      <x:c r="H8" s="6" t="s">
        <x:v>11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2" t="s">
        <x:v>12</x:v>
      </x:c>
      <x:c r="B9" s="2" t="s">
        <x:v>13</x:v>
      </x:c>
      <x:c r="C9" s="10" t="n">
        <x:f>'LM61495 Main 5V'!B6</x:f>
        <x:v>5</x:v>
      </x:c>
      <x:c r="D9" s="11">
        <x:v>3.0</x:v>
      </x:c>
      <x:c r="E9" s="11">
        <x:v>4.0</x:v>
      </x:c>
      <x:c r="F9" s="8" t="n">
        <x:f t="shared" ref="F9:F15" si="1">C9*D9</x:f>
        <x:v>15</x:v>
      </x:c>
      <x:c r="G9" s="8" t="n">
        <x:f t="shared" ref="G9:G15" si="2">C9*E9</x:f>
        <x:v>20</x:v>
      </x:c>
      <x:c r="H9" s="9" t="s">
        <x:v>14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2" t="s">
        <x:v>15</x:v>
      </x:c>
      <x:c r="B10" s="2" t="s">
        <x:v>13</x:v>
      </x:c>
      <x:c r="C10" s="10" t="n">
        <x:f>'LM61495 Main 5V'!B6</x:f>
        <x:v>5</x:v>
      </x:c>
      <x:c r="D10" s="11">
        <x:v>1.0</x:v>
      </x:c>
      <x:c r="E10" s="11">
        <x:v>2.0</x:v>
      </x:c>
      <x:c r="F10" s="8" t="n">
        <x:f t="shared" si="1">C10*D10</x:f>
        <x:v>5</x:v>
      </x:c>
      <x:c r="G10" s="8" t="n">
        <x:f t="shared" si="2">C10*E10</x:f>
        <x:v>10</x:v>
      </x:c>
      <x:c r="H10" s="2" t="s">
        <x:v>16</x:v>
      </x:c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32" customHeight="1">
      <x:c r="A11" s="2" t="s">
        <x:v>17</x:v>
      </x:c>
      <x:c r="B11" s="2" t="s">
        <x:v>13</x:v>
      </x:c>
      <x:c r="C11" s="10" t="n">
        <x:f>'LM61495 Main 5V'!B6</x:f>
        <x:v>5</x:v>
      </x:c>
      <x:c r="D11" s="11" t="n">
        <x:v>0.15</x:v>
      </x:c>
      <x:c r="E11" s="11" t="n">
        <x:v>0.25</x:v>
      </x:c>
      <x:c r="F11" s="8" t="n">
        <x:f t="shared" si="1">C11*D11</x:f>
        <x:v>0.75</x:v>
      </x:c>
      <x:c r="G11" s="8" t="n">
        <x:f t="shared" si="2">C11*E11</x:f>
        <x:v>1.25</x:v>
      </x:c>
      <x:c r="H11" s="27" t="str">
        <x:v>ED-CM5ACOOLER; startup unmeasured</x:v>
      </x:c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32" customHeight="1">
      <x:c r="A12" s="2" t="str">
        <x:v>Camera adapters</x:v>
      </x:c>
      <x:c r="B12" s="2" t="str">
        <x:v>3V3_CAM</x:v>
      </x:c>
      <x:c r="C12" s="10" t="n">
        <x:f>'TPS62933F Camera 3V3'!B6</x:f>
        <x:v>3.3066666666666666</x:v>
      </x:c>
      <x:c r="D12" s="11" t="n">
        <x:v>0.35</x:v>
      </x:c>
      <x:c r="E12" s="11" t="n">
        <x:v>0.6</x:v>
      </x:c>
      <x:c r="F12" s="8" t="n">
        <x:f t="shared" si="1">C12*D12</x:f>
        <x:v>1.1573333333333333</x:v>
      </x:c>
      <x:c r="G12" s="8" t="n">
        <x:f t="shared" si="2">C12*E12</x:f>
        <x:v>1.984</x:v>
      </x:c>
      <x:c r="H12" s="27" t="str">
        <x:v>3V3_CAM external buck; both camera FFC pin 22 inputs</x:v>
      </x:c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32" customHeight="1">
      <x:c r="A13" s="2" t="str">
        <x:v>Adapter internal rails</x:v>
      </x:c>
      <x:c r="B13" s="2" t="str">
        <x:v>Included above</x:v>
      </x:c>
      <x:c r="C13" s="10" t="n">
        <x:v>0</x:v>
      </x:c>
      <x:c r="D13" s="11" t="n">
        <x:v>0</x:v>
      </x:c>
      <x:c r="E13" s="11" t="n">
        <x:v>0</x:v>
      </x:c>
      <x:c r="F13" s="8" t="n">
        <x:f t="shared" si="1">C13*D13</x:f>
        <x:v>0</x:v>
      </x:c>
      <x:c r="G13" s="8" t="n">
        <x:f t="shared" si="2">C13*E13</x:f>
        <x:v>0</x:v>
      </x:c>
      <x:c r="H13" s="27" t="str">
        <x:v>No carrier 4 V / 1.8 V LDOs</x:v>
      </x:c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2" customHeight="1">
      <x:c r="A14" s="2" t="s">
        <x:v>18</x:v>
      </x:c>
      <x:c r="B14" s="2" t="str">
        <x:v>3V3_CM5</x:v>
      </x:c>
      <x:c r="C14" s="10" t="n">
        <x:f>'Power budget'!B28</x:f>
        <x:v>3.3</x:v>
      </x:c>
      <x:c r="D14" s="11">
        <x:v>0.04</x:v>
      </x:c>
      <x:c r="E14" s="11">
        <x:v>0.08</x:v>
      </x:c>
      <x:c r="F14" s="8" t="n">
        <x:f t="shared" si="1">C14*D14</x:f>
        <x:v>0.132</x:v>
      </x:c>
      <x:c r="G14" s="8" t="n">
        <x:f t="shared" si="2">C14*E14</x:f>
        <x:v>0.264</x:v>
      </x:c>
      <x:c r="H14" s="27" t="str">
        <x:v>Sensors/control on 3V3_CM5; excludes cameras</x:v>
      </x:c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2" t="s">
        <x:v>19</x:v>
      </x:c>
      <x:c r="B15" s="2" t="s">
        <x:v>20</x:v>
      </x:c>
      <x:c r="C15" s="10" t="n">
        <x:f>'TPS62933F RF 5V'!B6</x:f>
        <x:v>5</x:v>
      </x:c>
      <x:c r="D15" s="11">
        <x:v>1.0</x:v>
      </x:c>
      <x:c r="E15" s="11">
        <x:v>1.5</x:v>
      </x:c>
      <x:c r="F15" s="8" t="n">
        <x:f t="shared" si="1">C15*D15</x:f>
        <x:v>5</x:v>
      </x:c>
      <x:c r="G15" s="8" t="n">
        <x:f t="shared" si="2">C15*E15</x:f>
        <x:v>7.5</x:v>
      </x:c>
      <x:c r="H15" s="2" t="s">
        <x:v>21</x:v>
      </x:c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2"/>
      <x:c r="B16" s="2"/>
      <x:c r="C16" s="2"/>
      <x:c r="D16" s="2"/>
      <x:c r="E16" s="2"/>
      <x:c r="F16" s="8"/>
      <x:c r="G16" s="8"/>
      <x:c r="H16" s="2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6" t="s">
        <x:v>22</x:v>
      </x:c>
      <x:c r="B17" s="6"/>
      <x:c r="C17" s="6"/>
      <x:c r="D17" s="6"/>
      <x:c r="E17" s="6"/>
      <x:c r="F17" s="15" t="n">
        <x:f t="shared" ref="F17:G17" si="3">SUM(F9:F15)</x:f>
        <x:v>27.039333333333335</x:v>
      </x:c>
      <x:c r="G17" s="15" t="n">
        <x:f t="shared" si="3">SUM(G9:G15)</x:f>
        <x:v>40.998000000000005</x:v>
      </x:c>
      <x:c r="H17" s="6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2"/>
      <x:c r="B18" s="2"/>
      <x:c r="C18" s="2"/>
      <x:c r="D18" s="2"/>
      <x:c r="E18" s="2"/>
      <x:c r="F18" s="2"/>
      <x:c r="G18" s="2"/>
      <x:c r="H18" s="2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2"/>
      <x:c r="B19" s="2"/>
      <x:c r="C19" s="2"/>
      <x:c r="D19" s="2"/>
      <x:c r="E19" s="2"/>
      <x:c r="F19" s="2"/>
      <x:c r="G19" s="2"/>
      <x:c r="H19" s="2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2" t="str">
        <x:v>Estimates require workload measurements</x:v>
      </x:c>
      <x:c r="B20" s="2"/>
      <x:c r="C20" s="2"/>
      <x:c r="D20" s="2"/>
      <x:c r="E20" s="2"/>
      <x:c r="F20" s="2"/>
      <x:c r="G20" s="2"/>
      <x:c r="H20" s="2" t="str">
        <x:v>Separate camera supply</x:v>
      </x:c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2"/>
      <x:c r="B21" s="2"/>
      <x:c r="C21" s="2"/>
      <x:c r="D21" s="2"/>
      <x:c r="E21" s="2"/>
      <x:c r="F21" s="2"/>
      <x:c r="G21" s="2"/>
      <x:c r="H21" s="2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2"/>
      <x:c r="B22" s="2"/>
      <x:c r="C22" s="2"/>
      <x:c r="D22" s="2"/>
      <x:c r="E22" s="2"/>
      <x:c r="F22" s="2"/>
      <x:c r="G22" s="2"/>
      <x:c r="H22" s="2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2"/>
      <x:c r="B23" s="2"/>
      <x:c r="C23" s="2"/>
      <x:c r="D23" s="2"/>
      <x:c r="E23" s="2"/>
      <x:c r="F23" s="2"/>
      <x:c r="G23" s="2"/>
      <x:c r="H23" s="2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2"/>
      <x:c r="B24" s="2"/>
      <x:c r="C24" s="2"/>
      <x:c r="D24" s="2"/>
      <x:c r="E24" s="2"/>
      <x:c r="F24" s="2"/>
      <x:c r="G24" s="2"/>
      <x:c r="H24" s="2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2"/>
      <x:c r="B25" s="2"/>
      <x:c r="C25" s="2"/>
      <x:c r="D25" s="2"/>
      <x:c r="E25" s="2"/>
      <x:c r="F25" s="2"/>
      <x:c r="G25" s="2"/>
      <x:c r="H25" s="2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2"/>
      <x:c r="B26" s="2"/>
      <x:c r="C26" s="2"/>
      <x:c r="D26" s="2"/>
      <x:c r="E26" s="2"/>
      <x:c r="F26" s="2"/>
      <x:c r="G26" s="2"/>
      <x:c r="H26" s="2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6" t="s">
        <x:v>23</x:v>
      </x:c>
      <x:c r="B27" s="6" t="s">
        <x:v>24</x:v>
      </x:c>
      <x:c r="C27" s="6" t="s">
        <x:v>25</x:v>
      </x:c>
      <x:c r="D27" s="6" t="s">
        <x:v>26</x:v>
      </x:c>
      <x:c r="E27" s="6"/>
      <x:c r="F27" s="6"/>
      <x:c r="G27" s="6"/>
      <x:c r="H27" s="6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2" t="s">
        <x:v>27</x:v>
      </x:c>
      <x:c r="B28" s="11">
        <x:v>3.3</x:v>
      </x:c>
      <x:c r="C28" s="11" t="n">
        <x:f t="shared" ref="C28:C29" si="4">B28</x:f>
        <x:v>3.3</x:v>
      </x:c>
      <x:c r="D28" s="2" t="s">
        <x:v>6</x:v>
      </x:c>
      <x:c r="E28" s="2"/>
      <x:c r="F28" s="2"/>
      <x:c r="G28" s="2"/>
      <x:c r="H28" s="2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2" t="s">
        <x:v>28</x:v>
      </x:c>
      <x:c r="B29" s="12">
        <x:v>0.9</x:v>
      </x:c>
      <x:c r="C29" s="12">
        <x:f t="shared" si="4"/>
        <x:v>0.9</x:v>
      </x:c>
      <x:c r="D29" s="2"/>
      <x:c r="E29" s="2"/>
      <x:c r="F29" s="2"/>
      <x:c r="G29" s="2"/>
      <x:c r="H29" s="2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2" t="s">
        <x:v>29</x:v>
      </x:c>
      <x:c r="B30" s="11" t="n">
        <x:f>F14/B28</x:f>
        <x:v>0.04</x:v>
      </x:c>
      <x:c r="C30" s="11" t="n">
        <x:f>G14/C28</x:f>
        <x:v>0.08</x:v>
      </x:c>
      <x:c r="D30" s="2" t="s">
        <x:v>30</x:v>
      </x:c>
      <x:c r="E30" s="2"/>
      <x:c r="F30" s="2"/>
      <x:c r="G30" s="2"/>
      <x:c r="H30" s="2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" t="s">
        <x:v>31</x:v>
      </x:c>
      <x:c r="B31" s="11">
        <x:v>0.6</x:v>
      </x:c>
      <x:c r="C31" s="11" t="n">
        <x:f>B31</x:f>
        <x:v>0.6</x:v>
      </x:c>
      <x:c r="D31" s="2" t="s">
        <x:v>30</x:v>
      </x:c>
      <x:c r="E31" s="2"/>
      <x:c r="F31" s="2"/>
      <x:c r="G31" s="2"/>
      <x:c r="H31" s="2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2" t="s">
        <x:v>32</x:v>
      </x:c>
      <x:c r="B32" s="11" t="n">
        <x:f t="shared" ref="B32:C32" si="5">B31-B30</x:f>
        <x:v>0.5599999999999999</x:v>
      </x:c>
      <x:c r="C32" s="11" t="n">
        <x:f t="shared" si="5">C31-C30</x:f>
        <x:v>0.52</x:v>
      </x:c>
      <x:c r="D32" s="2" t="s">
        <x:v>30</x:v>
      </x:c>
      <x:c r="E32" s="2"/>
      <x:c r="F32" s="2"/>
      <x:c r="G32" s="2"/>
      <x:c r="H32" s="2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1.75" customHeight="1">
      <x:c r="A33" s="2" t="s">
        <x:v>33</x:v>
      </x:c>
      <x:c r="B33" s="11" t="n">
        <x:f t="shared" ref="B33:C33" si="6">B28*B30</x:f>
        <x:v>0.132</x:v>
      </x:c>
      <x:c r="C33" s="11" t="n">
        <x:f t="shared" si="6">C28*C30</x:f>
        <x:v>0.264</x:v>
      </x:c>
      <x:c r="D33" s="2" t="s">
        <x:v>34</x:v>
      </x:c>
      <x:c r="E33" s="2"/>
      <x:c r="F33" s="2"/>
      <x:c r="G33" s="2"/>
      <x:c r="H33" s="2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21.75" customHeight="1">
      <x:c r="A34" s="2" t="s">
        <x:v>35</x:v>
      </x:c>
      <x:c r="B34" s="11" t="n">
        <x:f t="shared" ref="B34:C34" si="7">IF(AND(ISNUMBER(B29),B29&gt;0,B29&lt;=1),B33/B29,NA())</x:f>
        <x:v>0.14666666666666667</x:v>
      </x:c>
      <x:c r="C34" s="11" t="n">
        <x:f t="shared" si="7">C33/C29</x:f>
        <x:v>0.29333333333333333</x:v>
      </x:c>
      <x:c r="D34" s="2" t="s">
        <x:v>34</x:v>
      </x:c>
      <x:c r="E34" s="2"/>
      <x:c r="F34" s="2"/>
      <x:c r="G34" s="2"/>
      <x:c r="H34" s="2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2" t="s">
        <x:v>36</x:v>
      </x:c>
      <x:c r="B35" s="11" t="n">
        <x:f t="shared" ref="B35:C35" si="8">B34-B33</x:f>
        <x:v>0.014666666666666661</x:v>
      </x:c>
      <x:c r="C35" s="11" t="n">
        <x:f t="shared" si="8">C34-C33</x:f>
        <x:v>0.029333333333333322</x:v>
      </x:c>
      <x:c r="D35" s="2" t="s">
        <x:v>34</x:v>
      </x:c>
      <x:c r="E35" s="2"/>
      <x:c r="F35" s="2"/>
      <x:c r="G35" s="2"/>
      <x:c r="H35" s="2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2"/>
      <x:c r="B36" s="2"/>
      <x:c r="C36" s="2"/>
      <x:c r="D36" s="2"/>
      <x:c r="E36" s="2"/>
      <x:c r="F36" s="2"/>
      <x:c r="G36" s="2"/>
      <x:c r="H36" s="2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1.75" customHeight="1">
      <x:c r="A37" s="2"/>
      <x:c r="B37" s="2"/>
      <x:c r="C37" s="2"/>
      <x:c r="D37" s="2"/>
      <x:c r="E37" s="2"/>
      <x:c r="F37" s="2"/>
      <x:c r="G37" s="2"/>
      <x:c r="H37" s="2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6" customHeight="1">
      <x:c r="A38" s="35" t="str">
        <x:v>Carrier Fabrication Inputs</x:v>
      </x:c>
      <x:c r="B38" s="35"/>
      <x:c r="C38" s="35"/>
      <x:c r="D38" s="35"/>
      <x:c r="E38" s="35"/>
      <x:c r="F38" s="35"/>
      <x:c r="G38" s="35"/>
      <x:c r="H38" s="35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6" customHeight="1">
      <x:c r="A39" s="36" t="str">
        <x:v>Parameter</x:v>
      </x:c>
      <x:c r="B39" s="36" t="str">
        <x:v>Value</x:v>
      </x:c>
      <x:c r="C39" s="36" t="str">
        <x:v>Unit</x:v>
      </x:c>
      <x:c r="D39" s="36" t="str">
        <x:v>Note</x:v>
      </x:c>
      <x:c r="E39" s="36"/>
      <x:c r="F39" s="36"/>
      <x:c r="G39" s="36"/>
      <x:c r="H39" s="36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6" customHeight="1">
      <x:c r="A40" s="33" t="str">
        <x:v>5.7-inch board diameter</x:v>
      </x:c>
      <x:c r="B40" s="40" t="n">
        <x:f>5.7*25.4</x:f>
        <x:v>144.78</x:v>
      </x:c>
      <x:c r="C40" s="33" t="str">
        <x:v>mm</x:v>
      </x:c>
      <x:c r="D40" s="27" t="str">
        <x:v>Circular board target</x:v>
      </x:c>
      <x:c r="E40" s="27"/>
      <x:c r="F40" s="27"/>
      <x:c r="G40" s="27"/>
      <x:c r="H40" s="27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34" customHeight="1">
      <x:c r="A41" s="33" t="str">
        <x:v>Selected JLC stackup</x:v>
      </x:c>
      <x:c r="B41" s="33" t="str">
        <x:v>JLC04161H-3313</x:v>
      </x:c>
      <x:c r="C41" s="33" t="str"/>
      <x:c r="D41" s="27" t="str">
        <x:v>JLC04161H-3313, retrieved 2026-10-02</x:v>
      </x:c>
      <x:c r="E41" s="27"/>
      <x:c r="F41" s="27"/>
      <x:c r="G41" s="27"/>
      <x:c r="H41" s="27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34" customHeight="1">
      <x:c r="A42" s="33" t="str">
        <x:v>Copper layers</x:v>
      </x:c>
      <x:c r="B42" s="33" t="n">
        <x:v>4</x:v>
      </x:c>
      <x:c r="C42" s="33" t="str"/>
      <x:c r="D42" s="27" t="str">
        <x:v>F.Cu signals / In1.Cu GND / In2.Cu GND / B.Cu signals</x:v>
      </x:c>
      <x:c r="E42" s="27"/>
      <x:c r="F42" s="27"/>
      <x:c r="G42" s="27"/>
      <x:c r="H42" s="27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6" customHeight="1">
      <x:c r="A43" s="33" t="str">
        <x:v>Nominal board thickness</x:v>
      </x:c>
      <x:c r="B43" s="40" t="n">
        <x:v>1.6</x:v>
      </x:c>
      <x:c r="C43" s="33" t="str">
        <x:v>mm</x:v>
      </x:c>
      <x:c r="D43" s="27" t="str">
        <x:v>JLC nominal ordering thickness</x:v>
      </x:c>
      <x:c r="E43" s="27"/>
      <x:c r="F43" s="27"/>
      <x:c r="G43" s="27"/>
      <x:c r="H43" s="27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34" customHeight="1">
      <x:c r="A44" s="33" t="str">
        <x:v>Finished template thickness</x:v>
      </x:c>
      <x:c r="B44" s="40" t="n">
        <x:v>1.56</x:v>
      </x:c>
      <x:c r="C44" s="33" t="str">
        <x:v>mm</x:v>
      </x:c>
      <x:c r="D44" s="27" t="str">
        <x:v>Template specifies ±10%; final fabrication specification governs</x:v>
      </x:c>
      <x:c r="E44" s="27"/>
      <x:c r="F44" s="27"/>
      <x:c r="G44" s="27"/>
      <x:c r="H44" s="27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6" customHeight="1">
      <x:c r="A45" s="33" t="str">
        <x:v>Outer copper weight</x:v>
      </x:c>
      <x:c r="B45" s="33" t="n">
        <x:v>1</x:v>
      </x:c>
      <x:c r="C45" s="33" t="str">
        <x:v>oz</x:v>
      </x:c>
      <x:c r="D45" s="27" t="str">
        <x:v>1 oz nominal; calculator uses finished conductor thickness below</x:v>
      </x:c>
      <x:c r="E45" s="27"/>
      <x:c r="F45" s="27"/>
      <x:c r="G45" s="27"/>
      <x:c r="H45" s="27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6" customHeight="1">
      <x:c r="A46" s="33" t="str">
        <x:v>Inner copper weight</x:v>
      </x:c>
      <x:c r="B46" s="33" t="n">
        <x:v>0.5</x:v>
      </x:c>
      <x:c r="C46" s="33" t="str">
        <x:v>oz</x:v>
      </x:c>
      <x:c r="D46" s="27" t="str">
        <x:v>Both inner layers are continuous GND reference planes</x:v>
      </x:c>
      <x:c r="E46" s="27"/>
      <x:c r="F46" s="27"/>
      <x:c r="G46" s="27"/>
      <x:c r="H46" s="27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34" customHeight="1">
      <x:c r="A47" s="33" t="str">
        <x:v>Model outer copper thickness</x:v>
      </x:c>
      <x:c r="B47" s="42" t="n">
        <x:v>0.04064</x:v>
      </x:c>
      <x:c r="C47" s="33" t="str">
        <x:v>mm</x:v>
      </x:c>
      <x:c r="D47" s="27" t="str">
        <x:v>Finished model T1 = 1.6 mil; template outer foil = 0.035 mm</x:v>
      </x:c>
      <x:c r="E47" s="27"/>
      <x:c r="F47" s="27"/>
      <x:c r="G47" s="27"/>
      <x:c r="H47" s="27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34" customHeight="1">
      <x:c r="A48" s="33" t="str">
        <x:v>Outer dielectric to GND</x:v>
      </x:c>
      <x:c r="B48" s="42" t="n">
        <x:v>0.09940036000000001</x:v>
      </x:c>
      <x:c r="C48" s="33" t="str">
        <x:v>mm</x:v>
      </x:c>
      <x:c r="D48" s="27" t="str">
        <x:v>H1 = 3.9134 mil; nominal compressed 3313 prepreg = 0.0994 mm</x:v>
      </x:c>
      <x:c r="E48" s="27"/>
      <x:c r="F48" s="27"/>
      <x:c r="G48" s="27"/>
      <x:c r="H48" s="27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6" customHeight="1">
      <x:c r="A49" s="33" t="str">
        <x:v>Outer dielectric Dk</x:v>
      </x:c>
      <x:c r="B49" s="42" t="n">
        <x:v>4.1</x:v>
      </x:c>
      <x:c r="C49" s="33" t="str"/>
      <x:c r="D49" s="27" t="str">
        <x:v>JLC coated-microstrip model</x:v>
      </x:c>
      <x:c r="E49" s="27"/>
      <x:c r="F49" s="27"/>
      <x:c r="G49" s="27"/>
      <x:c r="H49" s="27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26" customHeight="1">
      <x:c r="A50" s="33" t="str">
        <x:v>Core dielectric thickness</x:v>
      </x:c>
      <x:c r="B50" s="42" t="n">
        <x:v>1.265</x:v>
      </x:c>
      <x:c r="C50" s="33" t="str">
        <x:v>mm</x:v>
      </x:c>
      <x:c r="D50" s="27" t="str">
        <x:v>Core Dk = 4.42; inner copper = 0.0152 mm per layer</x:v>
      </x:c>
      <x:c r="E50" s="27"/>
      <x:c r="F50" s="27"/>
      <x:c r="G50" s="27"/>
      <x:c r="H50" s="27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26" customHeight="1">
      <x:c r="A51" s="33" t="str">
        <x:v>Mask C1 and C3</x:v>
      </x:c>
      <x:c r="B51" s="42" t="n">
        <x:v>0.0254</x:v>
      </x:c>
      <x:c r="C51" s="33" t="str">
        <x:v>mm</x:v>
      </x:c>
      <x:c r="D51" s="27" t="str">
        <x:v>Both model mask dimensions = 1 mil</x:v>
      </x:c>
      <x:c r="E51" s="27"/>
      <x:c r="F51" s="27"/>
      <x:c r="G51" s="27"/>
      <x:c r="H51" s="27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26" customHeight="1">
      <x:c r="A52" s="33" t="str">
        <x:v>Mask C2</x:v>
      </x:c>
      <x:c r="B52" s="42" t="n">
        <x:v>0.015239999999999998</x:v>
      </x:c>
      <x:c r="C52" s="33" t="str">
        <x:v>mm</x:v>
      </x:c>
      <x:c r="D52" s="27" t="str">
        <x:v>Model mask over trace = 0.6 mil</x:v>
      </x:c>
      <x:c r="E52" s="27"/>
      <x:c r="F52" s="27"/>
      <x:c r="G52" s="27"/>
      <x:c r="H52" s="27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26" customHeight="1">
      <x:c r="A53" s="33" t="str">
        <x:v>Solder-mask Dk</x:v>
      </x:c>
      <x:c r="B53" s="33" t="n">
        <x:v>3.8</x:v>
      </x:c>
      <x:c r="C53" s="33" t="str"/>
      <x:c r="D53" s="27" t="str">
        <x:v>JLC coated-microstrip model</x:v>
      </x:c>
      <x:c r="E53" s="27"/>
      <x:c r="F53" s="27"/>
      <x:c r="G53" s="27"/>
      <x:c r="H53" s="27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34" customHeight="1">
      <x:c r="A54" s="33" t="str">
        <x:v>Nominal etch width difference</x:v>
      </x:c>
      <x:c r="B54" s="42" t="n">
        <x:v>0.0127</x:v>
      </x:c>
      <x:c r="C54" s="33" t="str">
        <x:v>mm</x:v>
      </x:c>
      <x:c r="D54" s="27" t="str">
        <x:v>0.5 mil nominal. UI rounds model top widths separately, shown below.</x:v>
      </x:c>
      <x:c r="E54" s="27"/>
      <x:c r="F54" s="27"/>
      <x:c r="G54" s="27"/>
      <x:c r="H54" s="27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26" customHeight="1">
      <x:c r="A55" s="33" t="str">
        <x:v>Calculation layer</x:v>
      </x:c>
      <x:c r="B55" s="33" t="str">
        <x:v>Outer signals</x:v>
      </x:c>
      <x:c r="C55" s="33" t="str"/>
      <x:c r="D55" s="27" t="str">
        <x:v>F.Cu over In1.Cu GND; B.Cu over In2.Cu GND</x:v>
      </x:c>
      <x:c r="E55" s="27"/>
      <x:c r="F55" s="27"/>
      <x:c r="G55" s="27"/>
      <x:c r="H55" s="27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34" customHeight="1">
      <x:c r="A56" s="33" t="str">
        <x:v>CAD nominal stack sum</x:v>
      </x:c>
      <x:c r="B56" s="43" t="n">
        <x:v>1.59468</x:v>
      </x:c>
      <x:c r="C56" s="33" t="str">
        <x:v>mm</x:v>
      </x:c>
      <x:c r="D56" s="27" t="str">
        <x:v>Drawing uses 0.035 mm outer copper and 0.01524 mm mask. Vendor finished label remains 1.56 mm ±10%.</x:v>
      </x:c>
      <x:c r="E56" s="27"/>
      <x:c r="F56" s="27"/>
      <x:c r="G56" s="27"/>
      <x:c r="H56" s="27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26" customHeight="1">
      <x:c r="A57" s="37" t="str">
        <x:v>Impedance Classes</x:v>
      </x:c>
      <x:c r="B57" s="37"/>
      <x:c r="C57" s="37"/>
      <x:c r="D57" s="45"/>
      <x:c r="E57" s="45"/>
      <x:c r="F57" s="45"/>
      <x:c r="G57" s="45"/>
      <x:c r="H57" s="45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34" customHeight="1">
      <x:c r="A58" s="38" t="str">
        <x:v>Class</x:v>
      </x:c>
      <x:c r="B58" s="38" t="str">
        <x:v>Target (ohm)</x:v>
      </x:c>
      <x:c r="C58" s="38" t="str">
        <x:v>Width (mm)</x:v>
      </x:c>
      <x:c r="D58" s="38" t="str">
        <x:v>Gap (mm)</x:v>
      </x:c>
      <x:c r="E58" s="38" t="str">
        <x:v>Calculated (ohm)</x:v>
      </x:c>
      <x:c r="F58" s="38" t="str">
        <x:v>Top width (mm)</x:v>
      </x:c>
      <x:c r="G58" s="38" t="str">
        <x:v>Model</x:v>
      </x:c>
      <x:c r="H58" s="38" t="str">
        <x:v>Scope</x:v>
      </x:c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34" customHeight="1">
      <x:c r="A59" s="33" t="str">
        <x:v>CSI / ETH 100 ohm</x:v>
      </x:c>
      <x:c r="B59" s="33" t="n">
        <x:v>100</x:v>
      </x:c>
      <x:c r="C59" s="39" t="n">
        <x:v>0.15</x:v>
      </x:c>
      <x:c r="D59" s="46" t="n">
        <x:v>0.5</x:v>
      </x:c>
      <x:c r="E59" s="47" t="n">
        <x:v>99.7274378467</x:v>
      </x:c>
      <x:c r="F59" s="48" t="n">
        <x:v>0.137414</x:v>
      </x:c>
      <x:c r="G59" s="27" t="str">
        <x:v>Differential</x:v>
      </x:c>
      <x:c r="H59" s="27" t="str">
        <x:v>CAM0/CAM1 CSI and carrier Ethernet PHY pairs</x:v>
      </x:c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34" customHeight="1">
      <x:c r="A60" s="33" t="str">
        <x:v>USB 90 ohm</x:v>
      </x:c>
      <x:c r="B60" s="33" t="n">
        <x:v>90</x:v>
      </x:c>
      <x:c r="C60" s="39" t="n">
        <x:v>0.175</x:v>
      </x:c>
      <x:c r="D60" s="46" t="n">
        <x:v>0.3</x:v>
      </x:c>
      <x:c r="E60" s="47" t="n">
        <x:v>89.6897673111</x:v>
      </x:c>
      <x:c r="F60" s="48" t="n">
        <x:v>0.16230599999999998</x:v>
      </x:c>
      <x:c r="G60" s="27" t="str">
        <x:v>Differential</x:v>
      </x:c>
      <x:c r="H60" s="27" t="str">
        <x:v>Reserved for recovery/data port</x:v>
      </x:c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34" customHeight="1">
      <x:c r="A61" s="33" t="str">
        <x:v>Single-ended 50 ohm</x:v>
      </x:c>
      <x:c r="B61" s="33" t="n">
        <x:v>50</x:v>
      </x:c>
      <x:c r="C61" s="39" t="n">
        <x:v>0.16</x:v>
      </x:c>
      <x:c r="D61" s="46"/>
      <x:c r="E61" s="47" t="n">
        <x:v>49.5235859879</x:v>
      </x:c>
      <x:c r="F61" s="48" t="n">
        <x:v>0.14731999999999998</x:v>
      </x:c>
      <x:c r="G61" s="27" t="str">
        <x:v>Single</x:v>
      </x:c>
      <x:c r="H61" s="27" t="str">
        <x:v>Separate isolated-microstrip geometry</x:v>
      </x:c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26" customHeight="1">
      <x:c r="A62" s="33"/>
      <x:c r="B62" s="33"/>
      <x:c r="C62" s="33"/>
      <x:c r="D62" s="27"/>
      <x:c r="E62" s="27"/>
      <x:c r="F62" s="27"/>
      <x:c r="G62" s="27"/>
      <x:c r="H62" s="27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34" customHeight="1">
      <x:c r="A63" s="33" t="str">
        <x:v>Model limitation</x:v>
      </x:c>
      <x:c r="B63" s="33" t="str">
        <x:v>Nominal only</x:v>
      </x:c>
      <x:c r="C63" s="33" t="str"/>
      <x:c r="D63" s="27" t="str">
        <x:v>No fabricated impedance measurement. Confirm controlled-impedance geometry before order.</x:v>
      </x:c>
      <x:c r="E63" s="27"/>
      <x:c r="F63" s="27"/>
      <x:c r="G63" s="27"/>
      <x:c r="H63" s="27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34" customHeight="1">
      <x:c r="A64" s="33" t="str">
        <x:v>Return-path requirement</x:v>
      </x:c>
      <x:c r="B64" s="33" t="str">
        <x:v>Continuous GND</x:v>
      </x:c>
      <x:c r="C64" s="33" t="str"/>
      <x:c r="D64" s="27" t="str">
        <x:v>No CSI reference-plane splits; stitch GND at signal layer transitions.</x:v>
      </x:c>
      <x:c r="E64" s="27"/>
      <x:c r="F64" s="27"/>
      <x:c r="G64" s="27"/>
      <x:c r="H64" s="27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34" customHeight="1">
      <x:c r="A65" s="33" t="str">
        <x:v>50 ohm interpretation</x:v>
      </x:c>
      <x:c r="B65" s="33" t="str">
        <x:v>Odd-mode vs isolated</x:v>
      </x:c>
      <x:c r="C65" s="33" t="str"/>
      <x:c r="D65" s="27" t="str">
        <x:v>A 100 ohm coupled pair has approximately 50 ohm odd-mode legs. Isolated 50 ohm uses 0.160 mm width.</x:v>
      </x:c>
      <x:c r="E65" s="27"/>
      <x:c r="F65" s="27"/>
      <x:c r="G65" s="27"/>
      <x:c r="H65" s="27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34" customHeight="1">
      <x:c r="A66" s="33" t="str">
        <x:v>P/N length matching target</x:v>
      </x:c>
      <x:c r="B66" s="40" t="n">
        <x:v>0.15</x:v>
      </x:c>
      <x:c r="C66" s="33" t="str">
        <x:v>mm</x:v>
      </x:c>
      <x:c r="D66" s="27" t="str">
        <x:v>CM5 recommends matching within each pair. No CM5 requirement for equal total length across all CSI lanes.</x:v>
      </x:c>
      <x:c r="E66" s="27"/>
      <x:c r="F66" s="27"/>
      <x:c r="G66" s="27"/>
      <x:c r="H66" s="27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26" customHeight="1">
      <x:c r="A67" s="33" t="str">
        <x:v>Calculator source</x:v>
      </x:c>
      <x:c r="B67" s="33" t="str">
        <x:v>JLCPCB</x:v>
      </x:c>
      <x:c r="C67" s="33" t="str"/>
      <x:c r="D67" s="27" t="str">
        <x:v>https://jlcpcb.com/pcb-impedance-calculator</x:v>
      </x:c>
      <x:c r="E67" s="27"/>
      <x:c r="F67" s="27"/>
      <x:c r="G67" s="27"/>
      <x:c r="H67" s="27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26" customHeight="1">
      <x:c r="A68" s="33" t="str">
        <x:v>Stackup source</x:v>
      </x:c>
      <x:c r="B68" s="33" t="str">
        <x:v>JLCPCB</x:v>
      </x:c>
      <x:c r="C68" s="33" t="str"/>
      <x:c r="D68" s="27" t="str">
        <x:v>https://jlcpcb.com/impedance</x:v>
      </x:c>
      <x:c r="E68" s="27"/>
      <x:c r="F68" s="27"/>
      <x:c r="G68" s="27"/>
      <x:c r="H68" s="27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34" customHeight="1">
      <x:c r="A69" s="33" t="str">
        <x:v>Calculation record date</x:v>
      </x:c>
      <x:c r="B69" s="44" t="n">
        <x:v>46297</x:v>
      </x:c>
      <x:c r="C69" s="33" t="str"/>
      <x:c r="D69" s="27" t="str">
        <x:v>Column C: bottom/CAD width. Column F: JLC UI-rounded top width. Nominal model results.</x:v>
      </x:c>
      <x:c r="E69" s="27"/>
      <x:c r="F69" s="27"/>
      <x:c r="G69" s="27"/>
      <x:c r="H69" s="27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26" customHeight="1">
      <x:c r="A70" s="33" t="str">
        <x:v>Routing source</x:v>
      </x:c>
      <x:c r="B70" s="33" t="str">
        <x:v>CM5 datasheet</x:v>
      </x:c>
      <x:c r="C70" s="33" t="str"/>
      <x:c r="D70" s="27" t="str">
        <x:v>https://datasheets.raspberrypi.com/cm5/cm5-datasheet.pdf</x:v>
      </x:c>
      <x:c r="E70" s="27"/>
      <x:c r="F70" s="27"/>
      <x:c r="G70" s="27"/>
      <x:c r="H70" s="27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26" customHeight="1">
      <x:c r="A71" s="33" t="str">
        <x:v>Routing source section</x:v>
      </x:c>
      <x:c r="B71" s="33" t="str">
        <x:v>Printed pp. 7, 9</x:v>
      </x:c>
      <x:c r="C71" s="33" t="str"/>
      <x:c r="D71" s="27" t="str">
        <x:v>CSI §2.5.2 p.9. Ethernet §2.2.1 p.7. Recommended P/N matching within 0.15 mm.</x:v>
      </x:c>
      <x:c r="E71" s="27"/>
      <x:c r="F71" s="27"/>
      <x:c r="G71" s="27"/>
      <x:c r="H71" s="27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26" customHeight="1">
      <x:c r="A74" s="53" t="str">
        <x:v>Carrier Stackup and Routing</x:v>
      </x:c>
      <x:c r="B74" s="53"/>
      <x:c r="C74" s="53"/>
      <x:c r="D74" s="53"/>
      <x:c r="E74" s="53"/>
      <x:c r="F74" s="53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22" customHeight="1">
      <x:c r="A75" s="54" t="str">
        <x:v>Stackup</x:v>
      </x:c>
      <x:c r="B75" s="51" t="str">
        <x:f>B41</x:f>
        <x:v>JLC04161H-3313</x:v>
      </x:c>
      <x:c r="C75" s="51"/>
      <x:c r="D75" s="51"/>
      <x:c r="E75" s="51" t="str">
        <x:f>B42&amp;" layers"</x:f>
        <x:v>4 layers</x:v>
      </x:c>
      <x:c r="F75" s="51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22" customHeight="1">
      <x:c r="A76" s="54" t="str">
        <x:v>Thickness</x:v>
      </x:c>
      <x:c r="B76" s="51" t="str">
        <x:f>TEXT(B43,"0.0")&amp;" mm nominal"</x:f>
        <x:v>1.6 mm nominal</x:v>
      </x:c>
      <x:c r="C76" s="51"/>
      <x:c r="D76" s="51" t="str">
        <x:f>"JLC finished "&amp;TEXT(B44,"0.00")&amp;" mm ±10%"</x:f>
        <x:v>JLC finished 1.56 mm ±10%</x:v>
      </x:c>
      <x:c r="E76" s="51"/>
      <x:c r="F76" s="51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22" customHeight="1">
      <x:c r="A77" s="54" t="str">
        <x:v>Layer order</x:v>
      </x:c>
      <x:c r="B77" s="51" t="str">
        <x:v>F.Cu signal / In1.Cu GND / In2.Cu GND / B.Cu signal</x:v>
      </x:c>
      <x:c r="C77" s="51"/>
      <x:c r="D77" s="51"/>
      <x:c r="E77" s="51"/>
      <x:c r="F77" s="51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22" customHeight="1">
      <x:c r="A78" s="54" t="str">
        <x:v>Copper</x:v>
      </x:c>
      <x:c r="B78" s="51" t="str">
        <x:f>B45&amp;" oz outer / "&amp;B46&amp;" oz inner"</x:f>
        <x:v>1 oz outer / 0.5 oz inner</x:v>
      </x:c>
      <x:c r="C78" s="51"/>
      <x:c r="D78" s="51" t="str">
        <x:v>35 µm CAD / 40.64 µm model</x:v>
      </x:c>
      <x:c r="E78" s="51"/>
      <x:c r="F78" s="51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22" customHeight="1">
      <x:c r="A79" s="54" t="str">
        <x:v>Reference</x:v>
      </x:c>
      <x:c r="B79" s="51" t="str">
        <x:v>Continuous GND planes</x:v>
      </x:c>
      <x:c r="C79" s="51"/>
      <x:c r="D79" s="51" t="str">
        <x:f>"h="&amp;TEXT(B48,"0.0000")&amp;" mm, Dk="&amp;TEXT(B49,"0.0")</x:f>
        <x:v>h=0.0994 mm, Dk=4.1</x:v>
      </x:c>
      <x:c r="E79" s="51"/>
      <x:c r="F79" s="51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8" customHeight="1">
      <x:c r="A80" s="51"/>
      <x:c r="B80" s="51"/>
      <x:c r="C80" s="51"/>
      <x:c r="D80" s="51"/>
      <x:c r="E80" s="51"/>
      <x:c r="F80" s="51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32" customHeight="1">
      <x:c r="A81" s="63" t="str">
        <x:v>Routing</x:v>
      </x:c>
      <x:c r="B81" s="64" t="str">
        <x:v>Target (Ω)</x:v>
      </x:c>
      <x:c r="C81" s="64" t="str">
        <x:v>Width
(mm)</x:v>
      </x:c>
      <x:c r="D81" s="64" t="str">
        <x:v>Gap
(mm)</x:v>
      </x:c>
      <x:c r="E81" s="64" t="str">
        <x:v>Model (Ω)</x:v>
      </x:c>
      <x:c r="F81" s="64" t="str">
        <x:v>P/N skew
(mm)</x:v>
      </x:c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22" customHeight="1">
      <x:c r="A82" s="65" t="str">
        <x:v>CSI</x:v>
      </x:c>
      <x:c r="B82" s="66" t="n">
        <x:f>B59</x:f>
        <x:v>100</x:v>
      </x:c>
      <x:c r="C82" s="67" t="n">
        <x:f>C59</x:f>
        <x:v>0.15</x:v>
      </x:c>
      <x:c r="D82" s="67" t="n">
        <x:f>D59</x:f>
        <x:v>0.5</x:v>
      </x:c>
      <x:c r="E82" s="68" t="n">
        <x:f>E59</x:f>
        <x:v>99.7274378467</x:v>
      </x:c>
      <x:c r="F82" s="68" t="n">
        <x:f>B66</x:f>
        <x:v>0.15</x:v>
      </x:c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22" customHeight="1">
      <x:c r="A83" s="65" t="str">
        <x:v>Ethernet</x:v>
      </x:c>
      <x:c r="B83" s="66" t="n">
        <x:f>B59</x:f>
        <x:v>100</x:v>
      </x:c>
      <x:c r="C83" s="67" t="n">
        <x:f>C59</x:f>
        <x:v>0.15</x:v>
      </x:c>
      <x:c r="D83" s="67" t="n">
        <x:f>D59</x:f>
        <x:v>0.5</x:v>
      </x:c>
      <x:c r="E83" s="68" t="n">
        <x:f>E59</x:f>
        <x:v>99.7274378467</x:v>
      </x:c>
      <x:c r="F83" s="68" t="n">
        <x:f>B66</x:f>
        <x:v>0.15</x:v>
      </x:c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22" customHeight="1">
      <x:c r="A84" s="65" t="str">
        <x:v>USB data</x:v>
      </x:c>
      <x:c r="B84" s="66" t="n">
        <x:f>B60</x:f>
        <x:v>90</x:v>
      </x:c>
      <x:c r="C84" s="67" t="n">
        <x:f>C60</x:f>
        <x:v>0.175</x:v>
      </x:c>
      <x:c r="D84" s="67" t="n">
        <x:f>D60</x:f>
        <x:v>0.3</x:v>
      </x:c>
      <x:c r="E84" s="68" t="n">
        <x:f>E60</x:f>
        <x:v>89.6897673111</x:v>
      </x:c>
      <x:c r="F84" s="68" t="n">
        <x:f>B66</x:f>
        <x:v>0.15</x:v>
      </x:c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22" customHeight="1">
      <x:c r="A85" s="69" t="str">
        <x:v>Single-ended</x:v>
      </x:c>
      <x:c r="B85" s="70" t="n">
        <x:f>B61</x:f>
        <x:v>50</x:v>
      </x:c>
      <x:c r="C85" s="71" t="n">
        <x:f>C61</x:f>
        <x:v>0.16</x:v>
      </x:c>
      <x:c r="D85" s="71" t="str">
        <x:v>—</x:v>
      </x:c>
      <x:c r="E85" s="72" t="n">
        <x:f>E61</x:f>
        <x:v>49.5235859879</x:v>
      </x:c>
      <x:c r="F85" s="72" t="str">
        <x:v>—</x:v>
      </x:c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22" customHeight="1">
      <x:c r="A86" s="54" t="str">
        <x:v>Length matching</x:v>
      </x:c>
      <x:c r="B86" s="51" t="str">
        <x:v>Match P/N within each pair. No all-lane equal length target.</x:v>
      </x:c>
      <x:c r="C86" s="51"/>
      <x:c r="D86" s="51"/>
      <x:c r="E86" s="51"/>
      <x:c r="F86" s="51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22" customHeight="1">
      <x:c r="A87" s="54" t="str">
        <x:v>Basis</x:v>
      </x:c>
      <x:c r="B87" s="51" t="str">
        <x:f>TEXT(B69,"yyyy-mm-dd")&amp;" nominal model; confirm fabrication dimensions."</x:f>
        <x:v>2026-10-02 nominal model; confirm fabrication dimensions.</x:v>
      </x:c>
      <x:c r="C87" s="51"/>
      <x:c r="D87" s="51"/>
      <x:c r="E87" s="51"/>
      <x:c r="F87" s="51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26" customHeight="1">
      <x:c r="A91" s="77" t="str">
        <x:v>Sensor Interface</x:v>
      </x:c>
      <x:c r="B91" s="77" t="str">
        <x:v>Sensor Interface</x:v>
      </x:c>
      <x:c r="C91" s="77" t="str">
        <x:v>Sensor Interface</x:v>
      </x:c>
      <x:c r="D91" s="77" t="str">
        <x:v>Sensor Interface</x:v>
      </x:c>
      <x:c r="E91" s="77" t="str">
        <x:v>Sensor Interface</x:v>
      </x:c>
      <x:c r="F91" s="77" t="str">
        <x:v>Sensor Interface</x:v>
      </x:c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22" customHeight="1">
      <x:c r="A92" s="78" t="str">
        <x:v>SDA</x:v>
      </x:c>
      <x:c r="B92" s="75" t="str">
        <x:v>GPIO2 / J1.58 → SENSOR_I2C_SDA</x:v>
      </x:c>
      <x:c r="C92" s="75"/>
      <x:c r="D92" s="75"/>
      <x:c r="E92" s="75"/>
      <x:c r="F92" s="75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22" customHeight="1">
      <x:c r="A93" s="78" t="str">
        <x:v>SCL</x:v>
      </x:c>
      <x:c r="B93" s="75" t="str">
        <x:v>GPIO3 / J1.56 → SENSOR_I2C_SCL</x:v>
      </x:c>
      <x:c r="C93" s="75"/>
      <x:c r="D93" s="75"/>
      <x:c r="E93" s="75"/>
      <x:c r="F93" s="75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22" customHeight="1">
      <x:c r="A94" s="78" t="str">
        <x:v>Reference</x:v>
      </x:c>
      <x:c r="B94" s="75" t="str">
        <x:v>GPIO_VREF J1.78 = 3V3_CM5 (J1.84 / J1.86)</x:v>
      </x:c>
      <x:c r="C94" s="75"/>
      <x:c r="D94" s="75"/>
      <x:c r="E94" s="75"/>
      <x:c r="F94" s="75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22" customHeight="1">
      <x:c r="A95" s="78" t="str">
        <x:v>Pull-ups</x:v>
      </x:c>
      <x:c r="B95" s="75" t="str">
        <x:v>CM5 internal 1.8 kΩ per line; no external pair</x:v>
      </x:c>
      <x:c r="C95" s="75"/>
      <x:c r="D95" s="75"/>
      <x:c r="E95" s="75"/>
      <x:c r="F95" s="75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28" customHeight="1">
      <x:c r="A96" s="82" t="str">
        <x:v>Device</x:v>
      </x:c>
      <x:c r="B96" s="83" t="str">
        <x:v>7-bit address</x:v>
      </x:c>
      <x:c r="C96" s="83" t="str">
        <x:v>Supply rail</x:v>
      </x:c>
      <x:c r="D96" s="83"/>
      <x:c r="E96" s="83" t="str">
        <x:v>Polling baseline</x:v>
      </x:c>
      <x:c r="F96" s="83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22" customHeight="1">
      <x:c r="A97" s="84" t="str">
        <x:v>BMI088 accelerometer</x:v>
      </x:c>
      <x:c r="B97" s="95" t="str">
        <x:v>0x18 (hex)</x:v>
      </x:c>
      <x:c r="C97" s="85" t="str">
        <x:v>3V3_CM5</x:v>
      </x:c>
      <x:c r="D97" s="85"/>
      <x:c r="E97" s="86" t="str">
        <x:v>INT1 / INT2 NC</x:v>
      </x:c>
      <x:c r="F97" s="86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22" customHeight="1">
      <x:c r="A98" s="84" t="str">
        <x:v>BMI088 gyroscope</x:v>
      </x:c>
      <x:c r="B98" s="95" t="str">
        <x:v>0x68 (hex)</x:v>
      </x:c>
      <x:c r="C98" s="85" t="str">
        <x:v>3V3_CM5</x:v>
      </x:c>
      <x:c r="D98" s="85"/>
      <x:c r="E98" s="86" t="str">
        <x:v>INT3 / INT4 NC</x:v>
      </x:c>
      <x:c r="F98" s="86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36" customHeight="1">
      <x:c r="A99" s="84" t="str">
        <x:v>BMP581</x:v>
      </x:c>
      <x:c r="B99" s="95" t="str">
        <x:v>0x46 (hex)</x:v>
      </x:c>
      <x:c r="C99" s="85" t="str">
        <x:v>BMP_VDD / BMP_VDDIO</x:v>
      </x:c>
      <x:c r="D99" s="85"/>
      <x:c r="E99" s="86" t="str">
        <x:v>INT via R28 to GND; int_en=0</x:v>
      </x:c>
      <x:c r="F99" s="86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22" customHeight="1">
      <x:c r="A100" s="87" t="str">
        <x:v>INA226</x:v>
      </x:c>
      <x:c r="B100" s="96" t="str">
        <x:v>0x40 (hex)</x:v>
      </x:c>
      <x:c r="C100" s="88" t="str">
        <x:v>3V3_CM5</x:v>
      </x:c>
      <x:c r="D100" s="88"/>
      <x:c r="E100" s="89" t="str">
        <x:v>ALERT NC</x:v>
      </x:c>
      <x:c r="F100" s="89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22" customHeight="1">
      <x:c r="A101" s="78" t="str">
        <x:v>BMI straps</x:v>
      </x:c>
      <x:c r="B101" s="75" t="str">
        <x:v>PS / CSB1 to VDDIO; SDO1 / SDO2 GND; CSB2 NC</x:v>
      </x:c>
      <x:c r="C101" s="75"/>
      <x:c r="D101" s="75"/>
      <x:c r="E101" s="75"/>
      <x:c r="F101" s="75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22" customHeight="1">
      <x:c r="A102" s="78" t="str">
        <x:v>BMP straps / filter</x:v>
      </x:c>
      <x:c r="B102" s="75" t="str">
        <x:v>SDO GND; CSB BMP_VDDIO; each rail 10 Ω + 100 nF</x:v>
      </x:c>
      <x:c r="C102" s="75"/>
      <x:c r="D102" s="75"/>
      <x:c r="E102" s="75"/>
      <x:c r="F102" s="75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22" customHeight="1">
      <x:c r="A103" s="78" t="str">
        <x:v>Firmware</x:v>
      </x:c>
      <x:c r="B103" s="75" t="str">
        <x:v>100 kHz bring-up; 400 kHz after measured rise-time check</x:v>
      </x:c>
      <x:c r="C103" s="75"/>
      <x:c r="D103" s="75"/>
      <x:c r="E103" s="75"/>
      <x:c r="F103" s="75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26" customHeight="1">
      <x:c r="A106" s="77" t="str">
        <x:v>Sensor I2C Pull-Up Calculation</x:v>
      </x:c>
      <x:c r="B106" s="77" t="str">
        <x:v>Sensor I2C Pull-Up Calculation</x:v>
      </x:c>
      <x:c r="C106" s="77" t="str">
        <x:v>Sensor I2C Pull-Up Calculation</x:v>
      </x:c>
      <x:c r="D106" s="77" t="str">
        <x:v>Sensor I2C Pull-Up Calculation</x:v>
      </x:c>
      <x:c r="E106" s="77" t="str">
        <x:v>Sensor I2C Pull-Up Calculation</x:v>
      </x:c>
      <x:c r="F106" s="77" t="str">
        <x:v>Sensor I2C Pull-Up Calculation</x:v>
      </x:c>
      <x:c r="G106" s="77" t="str">
        <x:v>Sensor I2C Pull-Up Calculation</x:v>
      </x:c>
      <x:c r="H106" s="77" t="str">
        <x:v>Sensor I2C Pull-Up Calculation</x:v>
      </x:c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22" customHeight="1">
      <x:c r="A107" s="78" t="str">
        <x:v>Quantity</x:v>
      </x:c>
      <x:c r="B107" s="78" t="str">
        <x:v>Value</x:v>
      </x:c>
      <x:c r="C107" s="78" t="str">
        <x:v>Unit</x:v>
      </x:c>
      <x:c r="D107" s="78" t="str">
        <x:v>Input / calculation basis</x:v>
      </x:c>
      <x:c r="E107" s="78"/>
      <x:c r="F107" s="78"/>
      <x:c r="G107" s="78"/>
      <x:c r="H107" s="78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22" customHeight="1">
      <x:c r="A108" s="75" t="str">
        <x:v>CM5 pull-up, Rp</x:v>
      </x:c>
      <x:c r="B108" s="90" t="n">
        <x:v>1800</x:v>
      </x:c>
      <x:c r="C108" s="75" t="str">
        <x:v>Ω</x:v>
      </x:c>
      <x:c r="D108" s="75" t="str">
        <x:v>Internal resistor per line, nominal; tolerance not published</x:v>
      </x:c>
      <x:c r="E108" s="75"/>
      <x:c r="F108" s="75"/>
      <x:c r="G108" s="75"/>
      <x:c r="H108" s="75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22" customHeight="1">
      <x:c r="A109" s="75" t="str">
        <x:v>Assumed bus capacitance</x:v>
      </x:c>
      <x:c r="B109" s="90" t="n">
        <x:v>100</x:v>
      </x:c>
      <x:c r="C109" s="75" t="str">
        <x:v>pF</x:v>
      </x:c>
      <x:c r="D109" s="75" t="str">
        <x:v>Planning assumption; includes pins and routing; not measured</x:v>
      </x:c>
      <x:c r="E109" s="75"/>
      <x:c r="F109" s="75"/>
      <x:c r="G109" s="75"/>
      <x:c r="H109" s="75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22" customHeight="1">
      <x:c r="A110" s="75" t="str">
        <x:v>30–70% RC factor</x:v>
      </x:c>
      <x:c r="B110" s="91" t="n">
        <x:v>0.8473</x:v>
      </x:c>
      <x:c r="C110" s="75" t="str"/>
      <x:c r="D110" s="75" t="str">
        <x:v>ln(0.7 / 0.3), per NXP UM10204 §7.1</x:v>
      </x:c>
      <x:c r="E110" s="75"/>
      <x:c r="F110" s="75"/>
      <x:c r="G110" s="75"/>
      <x:c r="H110" s="75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22" customHeight="1">
      <x:c r="A111" s="75" t="str">
        <x:v>Calculated rise time</x:v>
      </x:c>
      <x:c r="B111" s="92" t="n">
        <x:f>B110*B108*B109/1000</x:f>
        <x:v>152.514</x:v>
      </x:c>
      <x:c r="C111" s="75" t="str">
        <x:v>ns</x:v>
      </x:c>
      <x:c r="D111" s="75" t="str">
        <x:v>tr = 0.8473 × Rp × Cb; nominal inputs</x:v>
      </x:c>
      <x:c r="E111" s="75"/>
      <x:c r="F111" s="75"/>
      <x:c r="G111" s="75"/>
      <x:c r="H111" s="75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22" customHeight="1">
      <x:c r="A112" s="75" t="str">
        <x:v>Fast-mode rise limit</x:v>
      </x:c>
      <x:c r="B112" s="90" t="n">
        <x:v>300</x:v>
      </x:c>
      <x:c r="C112" s="75" t="str">
        <x:v>ns</x:v>
      </x:c>
      <x:c r="D112" s="75" t="str">
        <x:v>NXP UM10204 Rev 7 Table 11; 400 kHz</x:v>
      </x:c>
      <x:c r="E112" s="75"/>
      <x:c r="F112" s="75"/>
      <x:c r="G112" s="75"/>
      <x:c r="H112" s="75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22" customHeight="1">
      <x:c r="A113" s="75" t="str">
        <x:v>Nominal capacitance limit</x:v>
      </x:c>
      <x:c r="B113" s="93" t="n">
        <x:f>B112/(B110*B108)*1000</x:f>
        <x:v>196.70325347181242</x:v>
      </x:c>
      <x:c r="C113" s="75" t="str">
        <x:v>pF</x:v>
      </x:c>
      <x:c r="D113" s="75" t="str">
        <x:v>Cb ≤ tr,max / (0.8473 × Rp); not a guaranteed limit</x:v>
      </x:c>
      <x:c r="E113" s="75"/>
      <x:c r="F113" s="75"/>
      <x:c r="G113" s="75"/>
      <x:c r="H113" s="75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22" customHeight="1">
      <x:c r="A114" s="75" t="str">
        <x:v>Assumed supply upper</x:v>
      </x:c>
      <x:c r="B114" s="92" t="n">
        <x:v>3.465</x:v>
      </x:c>
      <x:c r="C114" s="75" t="str">
        <x:v>V</x:v>
      </x:c>
      <x:c r="D114" s="75" t="str">
        <x:v>3.3 V + 5% assumption; rail upper limit unverified</x:v>
      </x:c>
      <x:c r="E114" s="75"/>
      <x:c r="F114" s="75"/>
      <x:c r="G114" s="75"/>
      <x:c r="H114" s="75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22" customHeight="1">
      <x:c r="A115" s="75" t="str">
        <x:v>Low-level voltage, VOL</x:v>
      </x:c>
      <x:c r="B115" s="94" t="n">
        <x:v>0.4</x:v>
      </x:c>
      <x:c r="C115" s="75" t="str">
        <x:v>V</x:v>
      </x:c>
      <x:c r="D115" s="75" t="str">
        <x:v>Calculation point for pull-up sink current</x:v>
      </x:c>
      <x:c r="E115" s="75"/>
      <x:c r="F115" s="75"/>
      <x:c r="G115" s="75"/>
      <x:c r="H115" s="75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22" customHeight="1">
      <x:c r="A116" s="75" t="str">
        <x:v>Nominal sink current</x:v>
      </x:c>
      <x:c r="B116" s="92" t="n">
        <x:f>(B114-B115)/B108*1000</x:f>
        <x:v>1.7027777777777777</x:v>
      </x:c>
      <x:c r="C116" s="75" t="str">
        <x:v>mA</x:v>
      </x:c>
      <x:c r="D116" s="75" t="str">
        <x:v>I = (VDD − VOL) / Rp; resistor tolerance excluded</x:v>
      </x:c>
      <x:c r="E116" s="75"/>
      <x:c r="F116" s="75"/>
      <x:c r="G116" s="75"/>
      <x:c r="H116" s="75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22" customHeight="1">
      <x:c r="A117" s="75" t="str">
        <x:v>Electrical limits</x:v>
      </x:c>
      <x:c r="B117" s="75" t="str">
        <x:v>Unverified</x:v>
      </x:c>
      <x:c r="C117" s="75" t="str"/>
      <x:c r="D117" s="75" t="str">
        <x:v>Internal Rp tolerance, actual Cb and waveform require verification</x:v>
      </x:c>
      <x:c r="E117" s="75"/>
      <x:c r="F117" s="75"/>
      <x:c r="G117" s="75"/>
      <x:c r="H117" s="75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22" customHeight="1">
      <x:c r="A118" s="75" t="str">
        <x:v>Bring-up setting</x:v>
      </x:c>
      <x:c r="B118" s="75" t="n">
        <x:v>100</x:v>
      </x:c>
      <x:c r="C118" s="75" t="str">
        <x:v>kHz</x:v>
      </x:c>
      <x:c r="D118" s="75" t="str">
        <x:v>Raise to 400 kHz only after measured rise-time check</x:v>
      </x:c>
      <x:c r="E118" s="75"/>
      <x:c r="F118" s="75"/>
      <x:c r="G118" s="75"/>
      <x:c r="H118" s="75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36" customHeight="1">
      <x:c r="A119" s="75" t="str">
        <x:v>CM5 source</x:v>
      </x:c>
      <x:c r="B119" s="81" t="str">
        <x:v>§2.9 p.11; pin table p.18</x:v>
      </x:c>
      <x:c r="C119" s="81" t="str"/>
      <x:c r="D119" s="75" t="str">
        <x:v>https://datasheets.raspberrypi.com/cm5/cm5-datasheet.pdf</x:v>
      </x:c>
      <x:c r="E119" s="75"/>
      <x:c r="F119" s="75"/>
      <x:c r="G119" s="75"/>
      <x:c r="H119" s="75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36" customHeight="1">
      <x:c r="A120" s="75" t="str">
        <x:v>BMI088 source</x:v>
      </x:c>
      <x:c r="B120" s="81" t="str">
        <x:v>§6.2; §7.3 Fig.9</x:v>
      </x:c>
      <x:c r="C120" s="81" t="str"/>
      <x:c r="D120" s="75" t="str">
        <x:v>https://www.bosch-sensortec.com/media/boschsensortec/downloads/datasheets/bst-bmi088-ds001.pdf</x:v>
      </x:c>
      <x:c r="E120" s="75"/>
      <x:c r="F120" s="75"/>
      <x:c r="G120" s="75"/>
      <x:c r="H120" s="75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36" customHeight="1">
      <x:c r="A121" s="75" t="str">
        <x:v>BMP581 source</x:v>
      </x:c>
      <x:c r="B121" s="81" t="str">
        <x:v>§6.2; Table 28</x:v>
      </x:c>
      <x:c r="C121" s="81" t="str"/>
      <x:c r="D121" s="75" t="str">
        <x:v>https://www.bosch-sensortec.com/media/boschsensortec/downloads/datasheets/bst-bmp581-ds004.pdf</x:v>
      </x:c>
      <x:c r="E121" s="75"/>
      <x:c r="F121" s="75"/>
      <x:c r="G121" s="75"/>
      <x:c r="H121" s="75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36" customHeight="1">
      <x:c r="A122" s="75" t="str">
        <x:v>INA226 source</x:v>
      </x:c>
      <x:c r="B122" s="81" t="str">
        <x:v>Address / pin tables</x:v>
      </x:c>
      <x:c r="C122" s="81" t="str"/>
      <x:c r="D122" s="75" t="str">
        <x:v>https://www.ti.com/lit/ds/symlink/ina226.pdf</x:v>
      </x:c>
      <x:c r="E122" s="75"/>
      <x:c r="F122" s="75"/>
      <x:c r="G122" s="75"/>
      <x:c r="H122" s="75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36" customHeight="1">
      <x:c r="A123" s="75" t="str">
        <x:v>I2C source</x:v>
      </x:c>
      <x:c r="B123" s="81" t="str">
        <x:v>Rev 7 §7.1 / Table 11</x:v>
      </x:c>
      <x:c r="C123" s="81" t="str"/>
      <x:c r="D123" s="75" t="str">
        <x:v>https://www.nxp.com/docs/en/user-guide/UM10204.pdf</x:v>
      </x:c>
      <x:c r="E123" s="75"/>
      <x:c r="F123" s="75"/>
      <x:c r="G123" s="75"/>
      <x:c r="H123" s="75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36" customHeight="1">
      <x:c r="A124" s="75" t="str">
        <x:v>Local audit</x:v>
      </x:c>
      <x:c r="B124" s="81" t="str">
        <x:v>2026-10-02</x:v>
      </x:c>
      <x:c r="C124" s="81" t="str"/>
      <x:c r="D124" s="75" t="str">
        <x:v>build/camera-bus-style-2026-10-02/research/sensor-interface-audit.json</x:v>
      </x:c>
      <x:c r="E124" s="75"/>
      <x:c r="F124" s="75"/>
      <x:c r="G124" s="75"/>
      <x:c r="H124" s="75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22" customHeight="1">
      <x:c r="A125" s="75" t="str">
        <x:v>Bus pin correspondence</x:v>
      </x:c>
      <x:c r="B125" s="75" t="str">
        <x:v>CM5 connector pads</x:v>
      </x:c>
      <x:c r="C125" s="75" t="str"/>
      <x:c r="D125" s="75" t="str">
        <x:v>SDA: U101.9 / U102.4 / U3.4; SCL: U101.8 / U102.2 / U3.5</x:v>
      </x:c>
      <x:c r="E125" s="75"/>
      <x:c r="F125" s="75"/>
      <x:c r="G125" s="75"/>
      <x:c r="H125" s="75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32" customHeight="1">
      <x:c r="A128" s="101" t="str">
        <x:v>Bench minimum (planning)</x:v>
      </x:c>
      <x:c r="B128" s="102" t="n">
        <x:v>12</x:v>
      </x:c>
      <x:c r="C128" s="100" t="str">
        <x:v>V</x:v>
      </x:c>
      <x:c r="D128" s="102" t="n">
        <x:v>5</x:v>
      </x:c>
      <x:c r="E128" s="100" t="str">
        <x:v>A</x:v>
      </x:c>
      <x:c r="F128" s="102" t="n">
        <x:f>B128*D128</x:f>
        <x:v>60</x:v>
      </x:c>
      <x:c r="G128" s="100" t="str">
        <x:v>W</x:v>
      </x:c>
      <x:c r="H128" s="100" t="str">
        <x:v>One source; barrel jack ≤5 A</x:v>
      </x:c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32" customHeight="1">
      <x:c r="A129" s="100" t="str">
        <x:v>Average input at 12 V</x:v>
      </x:c>
      <x:c r="B129" s="103" t="n">
        <x:f>B3/B128</x:f>
        <x:v>2.527970225127088</x:v>
      </x:c>
      <x:c r="C129" s="100" t="str">
        <x:v>A</x:v>
      </x:c>
      <x:c r="D129" s="100"/>
      <x:c r="E129" s="100"/>
      <x:c r="F129" s="100"/>
      <x:c r="G129" s="100"/>
      <x:c r="H129" s="100" t="str">
        <x:v>Current power-budget estimate</x:v>
      </x:c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32" customHeight="1">
      <x:c r="A130" s="100" t="str">
        <x:v>Allowance input at 12 V</x:v>
      </x:c>
      <x:c r="B130" s="103" t="n">
        <x:f>Battery!B22/B128</x:f>
        <x:v>3.826299927378359</x:v>
      </x:c>
      <x:c r="C130" s="100" t="str">
        <x:v>A</x:v>
      </x:c>
      <x:c r="D130" s="100"/>
      <x:c r="E130" s="100"/>
      <x:c r="F130" s="100"/>
      <x:c r="G130" s="100"/>
      <x:c r="H130" s="100" t="str">
        <x:v>Planning allowance; startup / current unmeasured</x:v>
      </x:c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28" customHeight="1">
      <x:c r="A132" s="109" t="str">
        <x:v>GRF5613 — Proposed PA Pin Allocation (0430450418)</x:v>
      </x:c>
      <x:c r="B132" s="109"/>
      <x:c r="C132" s="109"/>
      <x:c r="D132" s="109"/>
      <x:c r="E132" s="109"/>
      <x:c r="F132" s="109"/>
      <x:c r="G132" s="109"/>
      <x:c r="H132" s="109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30" customHeight="1">
      <x:c r="A133" s="111" t="str">
        <x:v>Signal</x:v>
      </x:c>
      <x:c r="B133" s="111" t="str">
        <x:v>GPIO / source</x:v>
      </x:c>
      <x:c r="C133" s="111" t="str">
        <x:v>CM5 pin</x:v>
      </x:c>
      <x:c r="D133" s="111" t="str">
        <x:v>Harness pin</x:v>
      </x:c>
      <x:c r="E133" s="111" t="str">
        <x:v>Level</x:v>
      </x:c>
      <x:c r="F133" s="111" t="str">
        <x:v>Function</x:v>
      </x:c>
      <x:c r="G133" s="111" t="str"/>
      <x:c r="H133" s="111" t="str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38" customHeight="1">
      <x:c r="A134" s="112" t="str">
        <x:v>PA_EN</x:v>
      </x:c>
      <x:c r="B134" s="112" t="str">
        <x:v>GPIO22</x:v>
      </x:c>
      <x:c r="C134" s="112" t="str">
        <x:v>J1.46</x:v>
      </x:c>
      <x:c r="D134" s="112" t="str">
        <x:v>3</x:v>
      </x:c>
      <x:c r="E134" s="112" t="str">
        <x:v>3.3 V</x:v>
      </x:c>
      <x:c r="F134" s="112" t="str">
        <x:v>HIGH requests PA ON; local 10 kΩ pulldown and VSHDN inversion</x:v>
      </x:c>
      <x:c r="G134" s="112" t="str"/>
      <x:c r="H134" s="112" t="str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38" customHeight="1">
      <x:c r="A135" s="112" t="str">
        <x:v>5V_RF_EN</x:v>
      </x:c>
      <x:c r="B135" s="112" t="str">
        <x:v>GPIO17</x:v>
      </x:c>
      <x:c r="C135" s="112" t="str">
        <x:v>J1.50</x:v>
      </x:c>
      <x:c r="D135" s="112" t="str">
        <x:v>Internal</x:v>
      </x:c>
      <x:c r="E135" s="112" t="str">
        <x:v>3.3 V</x:v>
      </x:c>
      <x:c r="F135" s="112" t="str">
        <x:v>Controls carrier RF buck; separate from PA_EN</x:v>
      </x:c>
      <x:c r="G135" s="112" t="str"/>
      <x:c r="H135" s="112" t="str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38" customHeight="1">
      <x:c r="A136" s="112" t="str">
        <x:v>PA5V</x:v>
      </x:c>
      <x:c r="B136" s="112" t="str">
        <x:v>5V_RF</x:v>
      </x:c>
      <x:c r="C136" s="112" t="str">
        <x:v>—</x:v>
      </x:c>
      <x:c r="D136" s="112" t="str">
        <x:v>1</x:v>
      </x:c>
      <x:c r="E136" s="112" t="str">
        <x:v>5 V</x:v>
      </x:c>
      <x:c r="F136" s="112" t="str">
        <x:v>3 A IC rating; 1.5 A planning load, unmeasured</x:v>
      </x:c>
      <x:c r="G136" s="112" t="str"/>
      <x:c r="H136" s="112" t="str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38" customHeight="1">
      <x:c r="A137" s="113" t="str">
        <x:v>GND</x:v>
      </x:c>
      <x:c r="B137" s="113" t="str">
        <x:v>Common GND</x:v>
      </x:c>
      <x:c r="C137" s="113" t="str">
        <x:v>—</x:v>
      </x:c>
      <x:c r="D137" s="113" t="str">
        <x:v>2 / 4</x:v>
      </x:c>
      <x:c r="E137" s="113" t="str">
        <x:v>0 V</x:v>
      </x:c>
      <x:c r="F137" s="113" t="str">
        <x:v>Common power and control return</x:v>
      </x:c>
      <x:c r="G137" s="113" t="str"/>
      <x:c r="H137" s="113" t="str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38:H38"/>
    <x:mergeCell ref="D39:H39"/>
    <x:mergeCell ref="D40:H40"/>
    <x:mergeCell ref="D41:H41"/>
    <x:mergeCell ref="D42:H42"/>
    <x:mergeCell ref="D43:H43"/>
    <x:mergeCell ref="D44:H44"/>
    <x:mergeCell ref="D45:H45"/>
    <x:mergeCell ref="D46:H46"/>
    <x:mergeCell ref="D47:H47"/>
    <x:mergeCell ref="D48:H48"/>
    <x:mergeCell ref="D49:H49"/>
    <x:mergeCell ref="D50:H50"/>
    <x:mergeCell ref="D51:H51"/>
    <x:mergeCell ref="D52:H52"/>
    <x:mergeCell ref="D53:H53"/>
    <x:mergeCell ref="D54:H54"/>
    <x:mergeCell ref="D55:H55"/>
    <x:mergeCell ref="D56:H56"/>
    <x:mergeCell ref="A57:H57"/>
    <x:mergeCell ref="D63:H63"/>
    <x:mergeCell ref="D64:H64"/>
    <x:mergeCell ref="D65:H65"/>
    <x:mergeCell ref="D66:H66"/>
    <x:mergeCell ref="D67:H67"/>
    <x:mergeCell ref="D68:H68"/>
    <x:mergeCell ref="D69:H69"/>
    <x:mergeCell ref="D70:H70"/>
    <x:mergeCell ref="D71:H71"/>
    <x:mergeCell ref="A74:F74"/>
    <x:mergeCell ref="B75:D75"/>
    <x:mergeCell ref="E75:F75"/>
    <x:mergeCell ref="B76:C76"/>
    <x:mergeCell ref="D76:F76"/>
    <x:mergeCell ref="B77:F77"/>
    <x:mergeCell ref="B78:C78"/>
    <x:mergeCell ref="D78:F78"/>
    <x:mergeCell ref="B79:C79"/>
    <x:mergeCell ref="D79:F79"/>
    <x:mergeCell ref="B86:F86"/>
    <x:mergeCell ref="B87:F87"/>
    <x:mergeCell ref="A91:F91"/>
    <x:mergeCell ref="B92:F92"/>
    <x:mergeCell ref="B93:F93"/>
    <x:mergeCell ref="B94:F94"/>
    <x:mergeCell ref="B95:F95"/>
    <x:mergeCell ref="C96:D96"/>
    <x:mergeCell ref="E96:F96"/>
    <x:mergeCell ref="C97:D97"/>
    <x:mergeCell ref="E97:F97"/>
    <x:mergeCell ref="C98:D98"/>
    <x:mergeCell ref="E98:F98"/>
    <x:mergeCell ref="C99:D99"/>
    <x:mergeCell ref="E99:F99"/>
    <x:mergeCell ref="C100:D100"/>
    <x:mergeCell ref="E100:F100"/>
    <x:mergeCell ref="B101:F101"/>
    <x:mergeCell ref="B102:F102"/>
    <x:mergeCell ref="B103:F103"/>
    <x:mergeCell ref="A106:H106"/>
    <x:mergeCell ref="D107:H107"/>
    <x:mergeCell ref="D108:H108"/>
    <x:mergeCell ref="D109:H109"/>
    <x:mergeCell ref="D110:H110"/>
    <x:mergeCell ref="D111:H111"/>
    <x:mergeCell ref="D112:H112"/>
    <x:mergeCell ref="D113:H113"/>
    <x:mergeCell ref="D114:H114"/>
    <x:mergeCell ref="D115:H115"/>
    <x:mergeCell ref="D116:H116"/>
    <x:mergeCell ref="D117:H117"/>
    <x:mergeCell ref="D118:H118"/>
    <x:mergeCell ref="D119:H119"/>
    <x:mergeCell ref="D120:H120"/>
    <x:mergeCell ref="D121:H121"/>
    <x:mergeCell ref="D122:H122"/>
    <x:mergeCell ref="D123:H123"/>
    <x:mergeCell ref="D124:H124"/>
    <x:mergeCell ref="D125:H125"/>
    <x:mergeCell ref="A132:H132"/>
    <x:mergeCell ref="F133:H133"/>
    <x:mergeCell ref="F134:H134"/>
    <x:mergeCell ref="F135:H135"/>
    <x:mergeCell ref="F136:H136"/>
    <x:mergeCell ref="F137:H137"/>
  </x:mergeCells>
  <x:pageMargins left="0.7" right="0.7" top="0.75" bottom="0.75" header="0.3" footer="0.3"/>
  <x:legacyDrawing xmlns:r="http://schemas.openxmlformats.org/officeDocument/2006/relationships" r:id="R28bcfc78169e4d0c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30" customWidth="1"/>
    <x:col min="2" max="2" width="15" customWidth="1"/>
    <x:col min="3" max="3" width="9" customWidth="1"/>
    <x:col min="4" max="4" width="47" customWidth="1"/>
    <x:col min="5" max="26" width="8.630000114440918" customWidth="1"/>
  </x:cols>
  <x:sheetData>
    <x:row r="1" ht="21.75" customHeight="1">
      <x:c r="A1" s="3" t="s">
        <x:v>37</x:v>
      </x:c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2"/>
      <x:c r="B2" s="2"/>
      <x:c r="C2" s="2"/>
      <x:c r="D2" s="2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2"/>
      <x:c r="B3" s="2"/>
      <x:c r="C3" s="2"/>
      <x:c r="D3" s="2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6" t="s">
        <x:v>38</x:v>
      </x:c>
      <x:c r="B4" s="6" t="s">
        <x:v>39</x:v>
      </x:c>
      <x:c r="C4" s="6" t="s">
        <x:v>26</x:v>
      </x:c>
      <x:c r="D4" s="6" t="s">
        <x:v>11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2" t="s">
        <x:v>40</x:v>
      </x:c>
      <x:c r="B5" s="7">
        <x:v>3.0</x:v>
      </x:c>
      <x:c r="C5" s="2"/>
      <x:c r="D5" s="2" t="s">
        <x:v>41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2" t="s">
        <x:v>42</x:v>
      </x:c>
      <x:c r="B6" s="8">
        <x:v>3.6</x:v>
      </x:c>
      <x:c r="C6" s="2" t="s">
        <x:v>6</x:v>
      </x:c>
      <x:c r="D6" s="9" t="s">
        <x:v>43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2" t="s">
        <x:v>44</x:v>
      </x:c>
      <x:c r="B7" s="8">
        <x:v>4.2</x:v>
      </x:c>
      <x:c r="C7" s="2" t="s">
        <x:v>6</x:v>
      </x:c>
      <x:c r="D7" s="9" t="s">
        <x:v>43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2" t="s">
        <x:v>45</x:v>
      </x:c>
      <x:c r="B8" s="8">
        <x:v>9.0</x:v>
      </x:c>
      <x:c r="C8" s="2" t="s">
        <x:v>6</x:v>
      </x:c>
      <x:c r="D8" s="9" t="str">
        <x:v>9 V stress calculation; nominal UVLO off 9.69 V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2" t="s">
        <x:v>46</x:v>
      </x:c>
      <x:c r="B9" s="8">
        <x:v>5.0</x:v>
      </x:c>
      <x:c r="C9" s="2" t="s">
        <x:v>47</x:v>
      </x:c>
      <x:c r="D9" s="9" t="str">
        <x:v>3S 5 Ah target; actual pack SKU open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2" t="s">
        <x:v>48</x:v>
      </x:c>
      <x:c r="B10" s="12">
        <x:v>0.8</x:v>
      </x:c>
      <x:c r="C10" s="2"/>
      <x:c r="D10" s="9" t="s">
        <x:v>49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1.75" customHeight="1">
      <x:c r="A11" s="2" t="str">
        <x:v>Runtime target (soft)</x:v>
      </x:c>
      <x:c r="B11" s="8">
        <x:v>1.0</x:v>
      </x:c>
      <x:c r="C11" s="2" t="s">
        <x:v>50</x:v>
      </x:c>
      <x:c r="D11" s="2" t="str">
        <x:v>One hour including pad time; shorter accepted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2" t="s">
        <x:v>51</x:v>
      </x:c>
      <x:c r="B12" s="8">
        <x:v>0.2</x:v>
      </x:c>
      <x:c r="C12" s="2" t="s">
        <x:v>34</x:v>
      </x:c>
      <x:c r="D12" s="9" t="s">
        <x:v>52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1.75" customHeight="1">
      <x:c r="A13" s="2"/>
      <x:c r="B13" s="8"/>
      <x:c r="C13" s="2"/>
      <x:c r="D13" s="2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1.75" customHeight="1">
      <x:c r="A14" s="2"/>
      <x:c r="B14" s="8"/>
      <x:c r="C14" s="2"/>
      <x:c r="D14" s="2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2" t="s">
        <x:v>53</x:v>
      </x:c>
      <x:c r="B15" s="8" t="n">
        <x:f>IF(COUNT(B5:B6)=2,B5*B6,NA())</x:f>
        <x:v>10.8</x:v>
      </x:c>
      <x:c r="C15" s="2" t="s">
        <x:v>6</x:v>
      </x:c>
      <x:c r="D15" s="2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2" t="s">
        <x:v>54</x:v>
      </x:c>
      <x:c r="B16" s="8" t="n">
        <x:f>IF(COUNT(B5,B7)=2,B5*B7,NA())</x:f>
        <x:v>12.600000000000001</x:v>
      </x:c>
      <x:c r="C16" s="2" t="s">
        <x:v>6</x:v>
      </x:c>
      <x:c r="D16" s="2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2" t="s">
        <x:v>55</x:v>
      </x:c>
      <x:c r="B17" s="8" t="n">
        <x:f>IF(ISNUMBER(B9),B15*B9,NA())</x:f>
        <x:v>54</x:v>
      </x:c>
      <x:c r="C17" s="2" t="s">
        <x:v>56</x:v>
      </x:c>
      <x:c r="D17" s="2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2" t="s">
        <x:v>57</x:v>
      </x:c>
      <x:c r="B18" s="8" t="n">
        <x:f>IF(AND(ISNUMBER(B10),B10&gt;0,B10&lt;=1),B17*B10,NA())</x:f>
        <x:v>43.2</x:v>
      </x:c>
      <x:c r="C18" s="2" t="s">
        <x:v>56</x:v>
      </x:c>
      <x:c r="D18" s="2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2"/>
      <x:c r="B19" s="8"/>
      <x:c r="C19" s="2"/>
      <x:c r="D19" s="2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2"/>
      <x:c r="B20" s="8"/>
      <x:c r="C20" s="2"/>
      <x:c r="D20" s="2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2" t="s">
        <x:v>58</x:v>
      </x:c>
      <x:c r="B21" s="8" t="n">
        <x:f>'LM61495 Main 5V'!B38+'TPS62933F RF 5V'!B38+'TPS62933F Camera 3V3'!B38+B12</x:f>
        <x:v>30.335642701525053</x:v>
      </x:c>
      <x:c r="C21" s="2" t="s">
        <x:v>34</x:v>
      </x:c>
      <x:c r="D21" s="2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2" t="s">
        <x:v>59</x:v>
      </x:c>
      <x:c r="B22" s="8" t="n">
        <x:f>'LM61495 Main 5V'!B39+'TPS62933F RF 5V'!B39+'TPS62933F Camera 3V3'!B39+B12</x:f>
        <x:v>45.91559912854031</x:v>
      </x:c>
      <x:c r="C22" s="2" t="s">
        <x:v>34</x:v>
      </x:c>
      <x:c r="D22" s="2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2" t="s">
        <x:v>60</x:v>
      </x:c>
      <x:c r="B23" s="8" t="n">
        <x:f>IF(B21&gt;0,B18/B21,NA())</x:f>
        <x:v>1.4240674056273819</x:v>
      </x:c>
      <x:c r="C23" s="2" t="s">
        <x:v>50</x:v>
      </x:c>
      <x:c r="D23" s="2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6" t="s">
        <x:v>60</x:v>
      </x:c>
      <x:c r="B24" s="15" t="n">
        <x:f>B23*60</x:f>
        <x:v>85.44404433764291</x:v>
      </x:c>
      <x:c r="C24" s="6" t="s">
        <x:v>61</x:v>
      </x:c>
      <x:c r="D24" s="2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6" t="s">
        <x:v>62</x:v>
      </x:c>
      <x:c r="B25" s="15" t="n">
        <x:f>IF(AND(ISNUMBER(B11),B15&gt;0,B10&gt;0,B10&lt;=1),B21*B11/(B15*B10),NA())</x:f>
        <x:v>3.511069757120955</x:v>
      </x:c>
      <x:c r="C25" s="6" t="s">
        <x:v>47</x:v>
      </x:c>
      <x:c r="D25" s="2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2" t="s">
        <x:v>63</x:v>
      </x:c>
      <x:c r="B26" s="8" t="n">
        <x:f>IF(AND(ISNUMBER(B8),B8&gt;0),B21/B8,NA())</x:f>
        <x:v>3.370626966836117</x:v>
      </x:c>
      <x:c r="C26" s="2" t="s">
        <x:v>30</x:v>
      </x:c>
      <x:c r="D26" s="2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2" t="s">
        <x:v>64</x:v>
      </x:c>
      <x:c r="B27" s="8" t="n">
        <x:f>IF(AND(ISNUMBER(B8),B8&gt;0),B22/B8,NA())</x:f>
        <x:v>5.1017332365044785</x:v>
      </x:c>
      <x:c r="C27" s="2" t="s">
        <x:v>30</x:v>
      </x:c>
      <x:c r="D27" s="2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2"/>
      <x:c r="B28" s="2"/>
      <x:c r="C28" s="2"/>
      <x:c r="D28" s="2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2"/>
      <x:c r="B29" s="2"/>
      <x:c r="C29" s="2"/>
      <x:c r="D29" s="2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2"/>
      <x:c r="B30" s="2"/>
      <x:c r="C30" s="2"/>
      <x:c r="D30" s="2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"/>
      <x:c r="B31" s="2"/>
      <x:c r="C31" s="2"/>
      <x:c r="D31" s="2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33" customWidth="1"/>
    <x:col min="2" max="2" width="18" customWidth="1"/>
    <x:col min="3" max="3" width="10" customWidth="1"/>
    <x:col min="4" max="4" width="63" customWidth="1"/>
    <x:col min="5" max="26" width="8.630000114440918" customWidth="1"/>
  </x:cols>
  <x:sheetData>
    <x:row r="1" ht="21.75" customHeight="1">
      <x:c r="A1" s="5" t="s">
        <x:v>65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2" t="s">
        <x:v>66</x:v>
      </x:c>
      <x:c r="B2" s="2" t="s">
        <x:v>39</x:v>
      </x:c>
      <x:c r="C2" s="2" t="s">
        <x:v>26</x:v>
      </x:c>
      <x:c r="D2" s="2" t="s">
        <x:v>67</x:v>
      </x:c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2" t="s">
        <x:v>68</x:v>
      </x:c>
      <x:c r="B3" s="11" t="n">
        <x:f>Battery!B8</x:f>
        <x:v>9</x:v>
      </x:c>
      <x:c r="C3" s="2" t="s">
        <x:v>6</x:v>
      </x:c>
      <x:c r="D3" s="2" t="s">
        <x:v>69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2" t="s">
        <x:v>70</x:v>
      </x:c>
      <x:c r="B4" s="11" t="n">
        <x:f>Battery!B15</x:f>
        <x:v>10.8</x:v>
      </x:c>
      <x:c r="C4" s="2" t="s">
        <x:v>6</x:v>
      </x:c>
      <x:c r="D4" s="2" t="s">
        <x:v>71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2" t="s">
        <x:v>72</x:v>
      </x:c>
      <x:c r="B5" s="11" t="n">
        <x:f>Battery!B16</x:f>
        <x:v>12.600000000000001</x:v>
      </x:c>
      <x:c r="C5" s="2" t="s">
        <x:v>6</x:v>
      </x:c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2" t="s">
        <x:v>27</x:v>
      </x:c>
      <x:c r="B6" s="11">
        <x:v>5.0</x:v>
      </x:c>
      <x:c r="C6" s="2" t="s">
        <x:v>6</x:v>
      </x:c>
      <x:c r="D6" s="2" t="s">
        <x:v>73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2" t="s">
        <x:v>74</x:v>
      </x:c>
      <x:c r="B7" s="11" t="n">
        <x:f>(SUM('Power budget'!F9:F11)+'Power budget'!B34)/B6</x:f>
        <x:v>4.179333333333334</x:v>
      </x:c>
      <x:c r="C7" s="2" t="s">
        <x:v>30</x:v>
      </x:c>
      <x:c r="D7" s="2" t="s">
        <x:v>75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2" t="s">
        <x:v>76</x:v>
      </x:c>
      <x:c r="B8" s="11" t="n">
        <x:f>(SUM('Power budget'!G9:G11)+'Power budget'!C34)/B6</x:f>
        <x:v>6.308666666666666</x:v>
      </x:c>
      <x:c r="C8" s="2" t="s">
        <x:v>30</x:v>
      </x:c>
      <x:c r="D8" s="2" t="s">
        <x:v>77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2" t="s">
        <x:v>78</x:v>
      </x:c>
      <x:c r="B9" s="11">
        <x:v>7.0</x:v>
      </x:c>
      <x:c r="C9" s="2" t="s">
        <x:v>30</x:v>
      </x:c>
      <x:c r="D9" s="2" t="s">
        <x:v>79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2" t="s">
        <x:v>80</x:v>
      </x:c>
      <x:c r="B10" s="7">
        <x:v>400000.0</x:v>
      </x:c>
      <x:c r="C10" s="2" t="s">
        <x:v>81</x:v>
      </x:c>
      <x:c r="D10" s="2" t="s">
        <x:v>82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1.75" customHeight="1">
      <x:c r="A11" s="2" t="s">
        <x:v>83</x:v>
      </x:c>
      <x:c r="B11" s="13">
        <x:v>0.3</x:v>
      </x:c>
      <x:c r="C11" s="2"/>
      <x:c r="D11" s="2" t="s">
        <x:v>84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2" t="s">
        <x:v>85</x:v>
      </x:c>
      <x:c r="B12" s="13">
        <x:v>0.9</x:v>
      </x:c>
      <x:c r="C12" s="2"/>
      <x:c r="D12" s="2" t="s">
        <x:v>86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1.75" customHeight="1">
      <x:c r="A13" s="2" t="s">
        <x:v>87</x:v>
      </x:c>
      <x:c r="B13" s="7">
        <x:v>50.0</x:v>
      </x:c>
      <x:c r="C13" s="2" t="s">
        <x:v>88</x:v>
      </x:c>
      <x:c r="D13" s="2" t="s">
        <x:v>89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1.75" customHeight="1">
      <x:c r="A14" s="2" t="s">
        <x:v>90</x:v>
      </x:c>
      <x:c r="B14" s="7">
        <x:v>20.0</x:v>
      </x:c>
      <x:c r="C14" s="2" t="s">
        <x:v>91</x:v>
      </x:c>
      <x:c r="D14" s="2" t="s">
        <x:v>92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2"/>
      <x:c r="B15" s="11"/>
      <x:c r="C15" s="2"/>
      <x:c r="D15" s="2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2"/>
      <x:c r="B16" s="11"/>
      <x:c r="C16" s="2"/>
      <x:c r="D16" s="2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14" t="s">
        <x:v>93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2" t="s">
        <x:v>66</x:v>
      </x:c>
      <x:c r="B18" s="11" t="s">
        <x:v>39</x:v>
      </x:c>
      <x:c r="C18" s="2" t="s">
        <x:v>26</x:v>
      </x:c>
      <x:c r="D18" s="2" t="s">
        <x:v>67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2" t="s">
        <x:v>94</x:v>
      </x:c>
      <x:c r="B19" s="11">
        <x:v>10.0</x:v>
      </x:c>
      <x:c r="C19" s="2" t="s">
        <x:v>30</x:v>
      </x:c>
      <x:c r="D19" s="2" t="s">
        <x:v>95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2" t="s">
        <x:v>96</x:v>
      </x:c>
      <x:c r="B20" s="13">
        <x:v>0.7</x:v>
      </x:c>
      <x:c r="C20" s="2"/>
      <x:c r="D20" s="2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2" t="s">
        <x:v>97</x:v>
      </x:c>
      <x:c r="B21" s="11">
        <x:v>1.0</x:v>
      </x:c>
      <x:c r="C21" s="2" t="s">
        <x:v>6</x:v>
      </x:c>
      <x:c r="D21" s="9" t="s">
        <x:v>98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2" t="s">
        <x:v>99</x:v>
      </x:c>
      <x:c r="B22" s="10">
        <x:v>20.0</x:v>
      </x:c>
      <x:c r="C22" s="2" t="s">
        <x:v>30</x:v>
      </x:c>
      <x:c r="D22" s="2" t="s">
        <x:v>100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2"/>
      <x:c r="B23" s="11"/>
      <x:c r="C23" s="2"/>
      <x:c r="D23" s="2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14" t="s">
        <x:v>101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2" t="s">
        <x:v>66</x:v>
      </x:c>
      <x:c r="B25" s="11" t="s">
        <x:v>39</x:v>
      </x:c>
      <x:c r="C25" s="2" t="s">
        <x:v>26</x:v>
      </x:c>
      <x:c r="D25" s="2" t="s">
        <x:v>67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2" t="s">
        <x:v>102</x:v>
      </x:c>
      <x:c r="B26" s="11" t="n">
        <x:f>B19*B20</x:f>
        <x:v>7</x:v>
      </x:c>
      <x:c r="C26" s="2" t="s">
        <x:v>30</x:v>
      </x:c>
      <x:c r="D26" s="2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2" t="s">
        <x:v>103</x:v>
      </x:c>
      <x:c r="B27" s="11" t="n">
        <x:f>B9-B8</x:f>
        <x:v>0.6913333333333336</x:v>
      </x:c>
      <x:c r="C27" s="2" t="s">
        <x:v>30</x:v>
      </x:c>
      <x:c r="D27" s="2" t="s">
        <x:v>104</x:v>
      </x:c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2" t="s">
        <x:v>105</x:v>
      </x:c>
      <x:c r="B28" s="13" t="n">
        <x:f>B6/B5</x:f>
        <x:v>0.3968253968253968</x:v>
      </x:c>
      <x:c r="C28" s="2"/>
      <x:c r="D28" s="2" t="s">
        <x:v>106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2" t="s">
        <x:v>107</x:v>
      </x:c>
      <x:c r="B29" s="13" t="n">
        <x:f>B6/B3</x:f>
        <x:v>0.5555555555555556</x:v>
      </x:c>
      <x:c r="C29" s="2"/>
      <x:c r="D29" s="2" t="s">
        <x:v>106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2" t="s">
        <x:v>108</x:v>
      </x:c>
      <x:c r="B30" s="11" t="n">
        <x:f>B19*B11</x:f>
        <x:v>3</x:v>
      </x:c>
      <x:c r="C30" s="2" t="s">
        <x:v>109</x:v>
      </x:c>
      <x:c r="D30" s="2" t="s">
        <x:v>110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" t="s">
        <x:v>111</x:v>
      </x:c>
      <x:c r="B31" s="11" t="n">
        <x:f>B6*(1-B6/B5)/(B30*B10)*1000000</x:f>
        <x:v>2.5132275132275135</x:v>
      </x:c>
      <x:c r="C31" s="2" t="s">
        <x:v>112</x:v>
      </x:c>
      <x:c r="D31" s="2" t="s">
        <x:v>113</x:v>
      </x:c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2" t="s">
        <x:v>114</x:v>
      </x:c>
      <x:c r="B32" s="16">
        <x:v>3.3</x:v>
      </x:c>
      <x:c r="C32" s="2" t="s">
        <x:v>112</x:v>
      </x:c>
      <x:c r="D32" s="2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1.75" customHeight="1">
      <x:c r="A33" s="2" t="s">
        <x:v>115</x:v>
      </x:c>
      <x:c r="B33" s="11" t="n">
        <x:f>IF(AND(ISNUMBER(B32),B32&gt;0),B6*(1-B6/B5)/(B32*0.000001*B10),"")</x:f>
        <x:v>2.2847522847522854</x:v>
      </x:c>
      <x:c r="C33" s="2" t="s">
        <x:v>109</x:v>
      </x:c>
      <x:c r="D33" s="2" t="s">
        <x:v>116</x:v>
      </x:c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21.75" customHeight="1">
      <x:c r="A34" s="2" t="s">
        <x:v>117</x:v>
      </x:c>
      <x:c r="B34" s="11" t="n">
        <x:f>IF(ISNUMBER(B33),B9+B33/2,"")</x:f>
        <x:v>8.142376142376143</x:v>
      </x:c>
      <x:c r="C34" s="2" t="s">
        <x:v>30</x:v>
      </x:c>
      <x:c r="D34" s="2" t="s">
        <x:v>118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2" t="s">
        <x:v>119</x:v>
      </x:c>
      <x:c r="B35" s="11" t="n">
        <x:f>IF(ISNUMBER(B33),SQRT(B9^2+B33^2/12),"")</x:f>
        <x:v>7.0310033245777515</x:v>
      </x:c>
      <x:c r="C35" s="2" t="s">
        <x:v>30</x:v>
      </x:c>
      <x:c r="D35" s="2" t="s">
        <x:v>120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2" t="s">
        <x:v>121</x:v>
      </x:c>
      <x:c r="B36" s="11" t="n">
        <x:f>B6*B7</x:f>
        <x:v>20.89666666666667</x:v>
      </x:c>
      <x:c r="C36" s="2" t="s">
        <x:v>34</x:v>
      </x:c>
      <x:c r="D36" s="2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1.75" customHeight="1">
      <x:c r="A37" s="2" t="s">
        <x:v>122</x:v>
      </x:c>
      <x:c r="B37" s="11" t="n">
        <x:f>B6*B8</x:f>
        <x:v>31.543333333333333</x:v>
      </x:c>
      <x:c r="C37" s="2" t="s">
        <x:v>34</x:v>
      </x:c>
      <x:c r="D37" s="2" t="s">
        <x:v>123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1.75" customHeight="1">
      <x:c r="A38" s="2" t="s">
        <x:v>124</x:v>
      </x:c>
      <x:c r="B38" s="11" t="n">
        <x:f>IF(AND(ISNUMBER(B12),B12&gt;0,B12&lt;=1),B36/B12,NA())</x:f>
        <x:v>23.21851851851852</x:v>
      </x:c>
      <x:c r="C38" s="2" t="s">
        <x:v>34</x:v>
      </x:c>
      <x:c r="D38" s="2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1.75" customHeight="1">
      <x:c r="A39" s="2" t="s">
        <x:v>125</x:v>
      </x:c>
      <x:c r="B39" s="11" t="n">
        <x:f>IF(AND(ISNUMBER(B12),B12&gt;0,B12&lt;=1),B37/B12,NA())</x:f>
        <x:v>35.048148148148144</x:v>
      </x:c>
      <x:c r="C39" s="2" t="s">
        <x:v>34</x:v>
      </x:c>
      <x:c r="D39" s="2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1.75" customHeight="1">
      <x:c r="A40" s="2" t="s">
        <x:v>126</x:v>
      </x:c>
      <x:c r="B40" s="11" t="n">
        <x:f t="shared" ref="B40:B41" si="1">B38-B36</x:f>
        <x:v>2.32185185185185</x:v>
      </x:c>
      <x:c r="C40" s="2" t="s">
        <x:v>34</x:v>
      </x:c>
      <x:c r="D40" s="2" t="s">
        <x:v>127</x:v>
      </x:c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21.75" customHeight="1">
      <x:c r="A41" s="2" t="s">
        <x:v>128</x:v>
      </x:c>
      <x:c r="B41" s="11" t="n">
        <x:f t="shared" si="1">B39-B37</x:f>
        <x:v>3.504814814814811</x:v>
      </x:c>
      <x:c r="C41" s="2" t="s">
        <x:v>34</x:v>
      </x:c>
      <x:c r="D41" s="2" t="s">
        <x:v>127</x:v>
      </x:c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21.75" customHeight="1">
      <x:c r="A42" s="2"/>
      <x:c r="B42" s="11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1.75" customHeight="1">
      <x:c r="A43" s="2"/>
      <x:c r="B43" s="11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1.75" customHeight="1">
      <x:c r="A44" s="14" t="s">
        <x:v>129</x:v>
      </x:c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1.75" customHeight="1">
      <x:c r="A45" s="2" t="s">
        <x:v>66</x:v>
      </x:c>
      <x:c r="B45" s="11" t="s">
        <x:v>39</x:v>
      </x:c>
      <x:c r="C45" s="2" t="s">
        <x:v>26</x:v>
      </x:c>
      <x:c r="D45" s="2" t="s">
        <x:v>67</x:v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1.75" customHeight="1">
      <x:c r="A46" s="2" t="s">
        <x:v>130</x:v>
      </x:c>
      <x:c r="B46" s="16">
        <x:v>10000.0</x:v>
      </x:c>
      <x:c r="C46" s="2" t="s">
        <x:v>131</x:v>
      </x:c>
      <x:c r="D46" s="2" t="s">
        <x:v>132</x:v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1.75" customHeight="1">
      <x:c r="A47" s="2" t="s">
        <x:v>133</x:v>
      </x:c>
      <x:c r="B47" s="11" t="n">
        <x:f>IF(ISNUMBER(B46),B46*(B6/B21-1),"")</x:f>
        <x:v>40000</x:v>
      </x:c>
      <x:c r="C47" s="2" t="s">
        <x:v>131</x:v>
      </x:c>
      <x:c r="D47" s="2" t="s">
        <x:v>134</x:v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1.75" customHeight="1">
      <x:c r="A48" s="2" t="s">
        <x:v>135</x:v>
      </x:c>
      <x:c r="B48" s="16">
        <x:v>40000.0</x:v>
      </x:c>
      <x:c r="C48" s="2" t="s">
        <x:v>131</x:v>
      </x:c>
      <x:c r="D48" s="2" t="s">
        <x:v>136</x:v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1.75" customHeight="1">
      <x:c r="A49" s="2" t="s">
        <x:v>137</x:v>
      </x:c>
      <x:c r="B49" s="11" t="n">
        <x:f>IF(AND(COUNT(B46,B48)=2,B46&gt;0),B21*(1+B48/B46),"")</x:f>
        <x:v>5</x:v>
      </x:c>
      <x:c r="C49" s="2" t="s">
        <x:v>6</x:v>
      </x:c>
      <x:c r="D49" s="2" t="s">
        <x:v>138</x:v>
      </x:c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21.75" customHeight="1">
      <x:c r="A50" s="2" t="s">
        <x:v>139</x:v>
      </x:c>
      <x:c r="B50" s="16">
        <x:v>200.0</x:v>
      </x:c>
      <x:c r="C50" s="2" t="s">
        <x:v>140</x:v>
      </x:c>
      <x:c r="D50" s="9" t="s">
        <x:v>141</x:v>
      </x:c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21.75" customHeight="1">
      <x:c r="A51" s="2" t="s">
        <x:v>142</x:v>
      </x:c>
      <x:c r="B51" s="9">
        <x:v>0.9</x:v>
      </x:c>
      <x:c r="C51" s="2"/>
      <x:c r="D51" s="9" t="s">
        <x:v>143</x:v>
      </x:c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21.75" customHeight="1">
      <x:c r="A52" s="2" t="s">
        <x:v>144</x:v>
      </x:c>
      <x:c r="B52" s="11" t="n">
        <x:f>IF(COUNT(B50:B51)=2,B50*B51,"")</x:f>
        <x:v>180</x:v>
      </x:c>
      <x:c r="C52" s="2" t="s">
        <x:v>140</x:v>
      </x:c>
      <x:c r="D52" s="2" t="s">
        <x:v>145</x:v>
      </x:c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21.75" customHeight="1">
      <x:c r="A53" s="2" t="s">
        <x:v>146</x:v>
      </x:c>
      <x:c r="B53" s="11"/>
      <x:c r="C53" s="2" t="s">
        <x:v>131</x:v>
      </x:c>
      <x:c r="D53" s="2" t="s">
        <x:v>147</x:v>
      </x:c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21.75" customHeight="1">
      <x:c r="A54" s="2" t="s">
        <x:v>148</x:v>
      </x:c>
      <x:c r="B54" s="11" t="str">
        <x:f>IF(AND(COUNT(B33,B52:B53)=3,B52&gt;0),B33*(B53+1/(8*B10*B52*0.000001))*1000,"")</x:f>
      </x:c>
      <x:c r="C54" s="2" t="s">
        <x:v>88</x:v>
      </x:c>
      <x:c r="D54" s="2" t="s">
        <x:v>149</x:v>
      </x:c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21.75" customHeight="1">
      <x:c r="A55" s="2" t="s">
        <x:v>150</x:v>
      </x:c>
      <x:c r="B55" s="11"/>
      <x:c r="C55" s="2"/>
      <x:c r="D55" s="2" t="s">
        <x:v>136</x:v>
      </x:c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21.75" customHeight="1">
      <x:c r="A56" s="2" t="s">
        <x:v>151</x:v>
      </x:c>
      <x:c r="B56" s="11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21.75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21.75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21.75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D1"/>
    <x:mergeCell ref="A17:D17"/>
    <x:mergeCell ref="A24:D24"/>
    <x:mergeCell ref="A44:D44"/>
  </x:mergeCells>
  <x:hyperlinks>
    <x:hyperlink xmlns:r="http://schemas.openxmlformats.org/officeDocument/2006/relationships" ref="A1" r:id="R59e0f7a660524a8e"/>
  </x:hyperlinks>
  <x:pageMargins left="0.7" right="0.7" top="0.75" bottom="0.75" header="0.3" footer="0.3"/>
  <x:legacyDrawing xmlns:r="http://schemas.openxmlformats.org/officeDocument/2006/relationships" r:id="R94c80593ae6a44a5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33" customWidth="1"/>
    <x:col min="2" max="2" width="18" customWidth="1"/>
    <x:col min="3" max="3" width="10" customWidth="1"/>
    <x:col min="4" max="4" width="63" customWidth="1"/>
    <x:col min="5" max="26" width="8.630000114440918" customWidth="1"/>
  </x:cols>
  <x:sheetData>
    <x:row r="1" ht="21.75" customHeight="1">
      <x:c r="A1" s="5" t="s">
        <x:v>152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2" t="s">
        <x:v>66</x:v>
      </x:c>
      <x:c r="B2" s="2" t="s">
        <x:v>39</x:v>
      </x:c>
      <x:c r="C2" s="2" t="s">
        <x:v>26</x:v>
      </x:c>
      <x:c r="D2" s="2" t="s">
        <x:v>67</x:v>
      </x:c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2" t="s">
        <x:v>68</x:v>
      </x:c>
      <x:c r="B3" s="11" t="n">
        <x:f>Battery!B8</x:f>
        <x:v>9</x:v>
      </x:c>
      <x:c r="C3" s="2" t="s">
        <x:v>6</x:v>
      </x:c>
      <x:c r="D3" s="2" t="s">
        <x:v>69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2" t="s">
        <x:v>70</x:v>
      </x:c>
      <x:c r="B4" s="11" t="n">
        <x:f>Battery!B15</x:f>
        <x:v>10.8</x:v>
      </x:c>
      <x:c r="C4" s="2" t="s">
        <x:v>6</x:v>
      </x:c>
      <x:c r="D4" s="2" t="s">
        <x:v>71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2" t="s">
        <x:v>72</x:v>
      </x:c>
      <x:c r="B5" s="11" t="n">
        <x:f>Battery!B16</x:f>
        <x:v>12.600000000000001</x:v>
      </x:c>
      <x:c r="C5" s="2" t="s">
        <x:v>6</x:v>
      </x:c>
      <x:c r="D5" s="2" t="s">
        <x:v>153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2" t="s">
        <x:v>27</x:v>
      </x:c>
      <x:c r="B6" s="11">
        <x:v>5.0</x:v>
      </x:c>
      <x:c r="C6" s="2" t="s">
        <x:v>6</x:v>
      </x:c>
      <x:c r="D6" s="2" t="s">
        <x:v>73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2" t="s">
        <x:v>74</x:v>
      </x:c>
      <x:c r="B7" s="11" t="n">
        <x:f>'Power budget'!F15/B6</x:f>
        <x:v>1</x:v>
      </x:c>
      <x:c r="C7" s="2" t="s">
        <x:v>30</x:v>
      </x:c>
      <x:c r="D7" s="2" t="s">
        <x:v>75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2" t="s">
        <x:v>76</x:v>
      </x:c>
      <x:c r="B8" s="11" t="n">
        <x:f>'Power budget'!G15/B6</x:f>
        <x:v>1.5</x:v>
      </x:c>
      <x:c r="C8" s="2" t="s">
        <x:v>30</x:v>
      </x:c>
      <x:c r="D8" s="2" t="s">
        <x:v>77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2" t="s">
        <x:v>78</x:v>
      </x:c>
      <x:c r="B9" s="11">
        <x:v>1.5</x:v>
      </x:c>
      <x:c r="C9" s="2" t="s">
        <x:v>30</x:v>
      </x:c>
      <x:c r="D9" s="2" t="s">
        <x:v>79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2" t="s">
        <x:v>80</x:v>
      </x:c>
      <x:c r="B10" s="7">
        <x:v>500000.0</x:v>
      </x:c>
      <x:c r="C10" s="2" t="s">
        <x:v>81</x:v>
      </x:c>
      <x:c r="D10" s="2" t="s">
        <x:v>154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1.75" customHeight="1">
      <x:c r="A11" s="2" t="s">
        <x:v>83</x:v>
      </x:c>
      <x:c r="B11" s="13">
        <x:v>0.3</x:v>
      </x:c>
      <x:c r="C11" s="2"/>
      <x:c r="D11" s="2" t="s">
        <x:v>84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2" t="s">
        <x:v>85</x:v>
      </x:c>
      <x:c r="B12" s="13">
        <x:v>0.9</x:v>
      </x:c>
      <x:c r="C12" s="2"/>
      <x:c r="D12" s="2" t="s">
        <x:v>86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1.75" customHeight="1">
      <x:c r="A13" s="2" t="s">
        <x:v>87</x:v>
      </x:c>
      <x:c r="B13" s="7">
        <x:v>20.0</x:v>
      </x:c>
      <x:c r="C13" s="2" t="s">
        <x:v>88</x:v>
      </x:c>
      <x:c r="D13" s="2" t="s">
        <x:v>89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1.75" customHeight="1">
      <x:c r="A14" s="2" t="s">
        <x:v>90</x:v>
      </x:c>
      <x:c r="B14" s="7">
        <x:v>20.0</x:v>
      </x:c>
      <x:c r="C14" s="2" t="s">
        <x:v>91</x:v>
      </x:c>
      <x:c r="D14" s="2" t="s">
        <x:v>92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2"/>
      <x:c r="B15" s="11"/>
      <x:c r="C15" s="2"/>
      <x:c r="D15" s="2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2"/>
      <x:c r="B16" s="11"/>
      <x:c r="C16" s="2"/>
      <x:c r="D16" s="2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14" t="s">
        <x:v>93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2" t="s">
        <x:v>66</x:v>
      </x:c>
      <x:c r="B18" s="11" t="s">
        <x:v>39</x:v>
      </x:c>
      <x:c r="C18" s="2" t="s">
        <x:v>26</x:v>
      </x:c>
      <x:c r="D18" s="2" t="s">
        <x:v>67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2" t="s">
        <x:v>94</x:v>
      </x:c>
      <x:c r="B19" s="11">
        <x:v>3.0</x:v>
      </x:c>
      <x:c r="C19" s="2" t="s">
        <x:v>30</x:v>
      </x:c>
      <x:c r="D19" s="2" t="s">
        <x:v>95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2" t="s">
        <x:v>96</x:v>
      </x:c>
      <x:c r="B20" s="13">
        <x:v>0.7</x:v>
      </x:c>
      <x:c r="C20" s="2"/>
      <x:c r="D20" s="2" t="s">
        <x:v>155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2" t="s">
        <x:v>97</x:v>
      </x:c>
      <x:c r="B21" s="11">
        <x:v>0.8</x:v>
      </x:c>
      <x:c r="C21" s="2" t="s">
        <x:v>6</x:v>
      </x:c>
      <x:c r="D21" s="2" t="s">
        <x:v>156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2" t="s">
        <x:v>99</x:v>
      </x:c>
      <x:c r="B22" s="10">
        <x:v>5.8</x:v>
      </x:c>
      <x:c r="C22" s="2" t="s">
        <x:v>30</x:v>
      </x:c>
      <x:c r="D22" s="2" t="s">
        <x:v>100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2"/>
      <x:c r="B23" s="11"/>
      <x:c r="C23" s="2"/>
      <x:c r="D23" s="2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14" t="s">
        <x:v>101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2" t="s">
        <x:v>66</x:v>
      </x:c>
      <x:c r="B25" s="11" t="s">
        <x:v>39</x:v>
      </x:c>
      <x:c r="C25" s="2" t="s">
        <x:v>26</x:v>
      </x:c>
      <x:c r="D25" s="2" t="s">
        <x:v>67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2" t="s">
        <x:v>102</x:v>
      </x:c>
      <x:c r="B26" s="11" t="n">
        <x:f>B19*B20</x:f>
        <x:v>2.0999999999999996</x:v>
      </x:c>
      <x:c r="C26" s="2" t="s">
        <x:v>30</x:v>
      </x:c>
      <x:c r="D26" s="2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2" t="s">
        <x:v>103</x:v>
      </x:c>
      <x:c r="B27" s="11" t="n">
        <x:f>B9-B8</x:f>
        <x:v>0</x:v>
      </x:c>
      <x:c r="C27" s="2" t="s">
        <x:v>30</x:v>
      </x:c>
      <x:c r="D27" s="2" t="s">
        <x:v>104</x:v>
      </x:c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2" t="s">
        <x:v>105</x:v>
      </x:c>
      <x:c r="B28" s="13" t="n">
        <x:f>B6/B5</x:f>
        <x:v>0.3968253968253968</x:v>
      </x:c>
      <x:c r="C28" s="2"/>
      <x:c r="D28" s="2" t="s">
        <x:v>106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2" t="s">
        <x:v>107</x:v>
      </x:c>
      <x:c r="B29" s="13" t="n">
        <x:f>B6/B3</x:f>
        <x:v>0.5555555555555556</x:v>
      </x:c>
      <x:c r="C29" s="2"/>
      <x:c r="D29" s="2" t="s">
        <x:v>106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2" t="s">
        <x:v>108</x:v>
      </x:c>
      <x:c r="B30" s="11" t="n">
        <x:f>B19*B11</x:f>
        <x:v>0.8999999999999999</x:v>
      </x:c>
      <x:c r="C30" s="2" t="s">
        <x:v>109</x:v>
      </x:c>
      <x:c r="D30" s="2" t="s">
        <x:v>110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" t="s">
        <x:v>111</x:v>
      </x:c>
      <x:c r="B31" s="11" t="n">
        <x:f>B6*(1-B6/B5)/(B30*B10)*1000000</x:f>
        <x:v>6.7019400352733705</x:v>
      </x:c>
      <x:c r="C31" s="2" t="s">
        <x:v>112</x:v>
      </x:c>
      <x:c r="D31" s="2" t="s">
        <x:v>157</x:v>
      </x:c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2" t="s">
        <x:v>114</x:v>
      </x:c>
      <x:c r="B32" s="16">
        <x:v>6.8</x:v>
      </x:c>
      <x:c r="C32" s="2" t="s">
        <x:v>112</x:v>
      </x:c>
      <x:c r="D32" s="2" t="s">
        <x:v>158</x:v>
      </x:c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1.75" customHeight="1">
      <x:c r="A33" s="2" t="s">
        <x:v>115</x:v>
      </x:c>
      <x:c r="B33" s="11" t="n">
        <x:f>IF(AND(ISNUMBER(B32),B32&gt;0),B6*(1-B6/B5)/(B32*0.000001*B10),"")</x:f>
        <x:v>0.8870214752567697</x:v>
      </x:c>
      <x:c r="C33" s="2" t="s">
        <x:v>109</x:v>
      </x:c>
      <x:c r="D33" s="2" t="s">
        <x:v>116</x:v>
      </x:c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21.75" customHeight="1">
      <x:c r="A34" s="2" t="s">
        <x:v>117</x:v>
      </x:c>
      <x:c r="B34" s="11" t="n">
        <x:f>IF(ISNUMBER(B33),B9+B33/2,"")</x:f>
        <x:v>1.9435107376283849</x:v>
      </x:c>
      <x:c r="C34" s="2" t="s">
        <x:v>30</x:v>
      </x:c>
      <x:c r="D34" s="2" t="s">
        <x:v>118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2" t="s">
        <x:v>119</x:v>
      </x:c>
      <x:c r="B35" s="11" t="n">
        <x:f>IF(ISNUMBER(B33),SQRT(B9^2+B33^2/12),"")</x:f>
        <x:v>1.5216988066403148</x:v>
      </x:c>
      <x:c r="C35" s="2" t="s">
        <x:v>30</x:v>
      </x:c>
      <x:c r="D35" s="2" t="s">
        <x:v>120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2" t="s">
        <x:v>121</x:v>
      </x:c>
      <x:c r="B36" s="11" t="n">
        <x:f>B6*B7</x:f>
        <x:v>5</x:v>
      </x:c>
      <x:c r="C36" s="2" t="s">
        <x:v>34</x:v>
      </x:c>
      <x:c r="D36" s="2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1.75" customHeight="1">
      <x:c r="A37" s="2" t="s">
        <x:v>122</x:v>
      </x:c>
      <x:c r="B37" s="11" t="n">
        <x:f>B6*B8</x:f>
        <x:v>7.5</x:v>
      </x:c>
      <x:c r="C37" s="2" t="s">
        <x:v>34</x:v>
      </x:c>
      <x:c r="D37" s="2" t="s">
        <x:v>123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1.75" customHeight="1">
      <x:c r="A38" s="2" t="s">
        <x:v>124</x:v>
      </x:c>
      <x:c r="B38" s="11" t="n">
        <x:f>IF(AND(ISNUMBER(B12),B12&gt;0,B12&lt;=1),B36/B12,NA())</x:f>
        <x:v>5.555555555555555</x:v>
      </x:c>
      <x:c r="C38" s="2" t="s">
        <x:v>34</x:v>
      </x:c>
      <x:c r="D38" s="2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1.75" customHeight="1">
      <x:c r="A39" s="2" t="s">
        <x:v>125</x:v>
      </x:c>
      <x:c r="B39" s="11" t="n">
        <x:f>IF(AND(ISNUMBER(B12),B12&gt;0,B12&lt;=1),B37/B12,NA())</x:f>
        <x:v>8.333333333333334</x:v>
      </x:c>
      <x:c r="C39" s="2" t="s">
        <x:v>34</x:v>
      </x:c>
      <x:c r="D39" s="2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1.75" customHeight="1">
      <x:c r="A40" s="2" t="s">
        <x:v>126</x:v>
      </x:c>
      <x:c r="B40" s="11" t="n">
        <x:f t="shared" ref="B40:B41" si="1">B38-B36</x:f>
        <x:v>0.5555555555555554</x:v>
      </x:c>
      <x:c r="C40" s="2" t="s">
        <x:v>34</x:v>
      </x:c>
      <x:c r="D40" s="2" t="s">
        <x:v>127</x:v>
      </x:c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21.75" customHeight="1">
      <x:c r="A41" s="2" t="s">
        <x:v>128</x:v>
      </x:c>
      <x:c r="B41" s="11">
        <x:f t="shared" si="1"/>
        <x:v>0.8333333333</x:v>
      </x:c>
      <x:c r="C41" s="2" t="s">
        <x:v>34</x:v>
      </x:c>
      <x:c r="D41" s="2" t="s">
        <x:v>127</x:v>
      </x:c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21.75" customHeight="1">
      <x:c r="A42" s="2"/>
      <x:c r="B42" s="11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1.75" customHeight="1">
      <x:c r="A43" s="2"/>
      <x:c r="B43" s="11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1.75" customHeight="1">
      <x:c r="A44" s="14" t="s">
        <x:v>129</x:v>
      </x:c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1.75" customHeight="1">
      <x:c r="A45" s="2" t="s">
        <x:v>66</x:v>
      </x:c>
      <x:c r="B45" s="11" t="s">
        <x:v>39</x:v>
      </x:c>
      <x:c r="C45" s="2" t="s">
        <x:v>26</x:v>
      </x:c>
      <x:c r="D45" s="2" t="s">
        <x:v>67</x:v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1.75" customHeight="1">
      <x:c r="A46" s="2" t="s">
        <x:v>130</x:v>
      </x:c>
      <x:c r="B46" s="16">
        <x:v>10000.0</x:v>
      </x:c>
      <x:c r="C46" s="2" t="s">
        <x:v>131</x:v>
      </x:c>
      <x:c r="D46" s="2" t="s">
        <x:v>132</x:v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1.75" customHeight="1">
      <x:c r="A47" s="2" t="s">
        <x:v>133</x:v>
      </x:c>
      <x:c r="B47" s="11" t="n">
        <x:f>IF(ISNUMBER(B46),B46*(B6/B21-1),"")</x:f>
        <x:v>52500</x:v>
      </x:c>
      <x:c r="C47" s="2" t="s">
        <x:v>131</x:v>
      </x:c>
      <x:c r="D47" s="2" t="s">
        <x:v>134</x:v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1.75" customHeight="1">
      <x:c r="A48" s="2" t="s">
        <x:v>135</x:v>
      </x:c>
      <x:c r="B48" s="16">
        <x:v>52500.0</x:v>
      </x:c>
      <x:c r="C48" s="2" t="s">
        <x:v>131</x:v>
      </x:c>
      <x:c r="D48" s="27" t="str">
        <x:v>51k + 1.5k series above FB; 10k below FB</x:v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1.75" customHeight="1">
      <x:c r="A49" s="2" t="s">
        <x:v>137</x:v>
      </x:c>
      <x:c r="B49" s="11" t="n">
        <x:f>IF(AND(COUNT(B46,B48)=2,B46&gt;0),B21*(1+B48/B46),"")</x:f>
        <x:v>5</x:v>
      </x:c>
      <x:c r="C49" s="2" t="s">
        <x:v>6</x:v>
      </x:c>
      <x:c r="D49" s="27" t="s">
        <x:v>138</x:v>
      </x:c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21.75" customHeight="1">
      <x:c r="A50" s="2" t="s">
        <x:v>139</x:v>
      </x:c>
      <x:c r="B50" s="16" t="n">
        <x:v>60.1</x:v>
      </x:c>
      <x:c r="C50" s="2" t="s">
        <x:v>140</x:v>
      </x:c>
      <x:c r="D50" s="27" t="str">
        <x:v>Six 10 uF CL32B106KBJNNNE plus 100 nF</x:v>
      </x:c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21.75" customHeight="1">
      <x:c r="A51" s="2" t="s">
        <x:v>142</x:v>
      </x:c>
      <x:c r="B51" s="9" t="n">
        <x:v>0.9392673551613949</x:v>
      </x:c>
      <x:c r="C51" s="2"/>
      <x:c r="D51" s="27" t="str">
        <x:v>Samsung typical DC-bias model at 5 V, 25 °C</x:v>
      </x:c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21.75" customHeight="1">
      <x:c r="A52" s="2" t="str">
        <x:v>Output capacitance, typical</x:v>
      </x:c>
      <x:c r="B52" s="11" t="n">
        <x:f>(B50-0.1)*B51+0.1</x:f>
        <x:v>56.4560413096837</x:v>
      </x:c>
      <x:c r="C52" s="2" t="s">
        <x:v>140</x:v>
      </x:c>
      <x:c r="D52" s="27" t="str">
        <x:v>Tolerance, temperature and aging excluded</x:v>
      </x:c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21.75" customHeight="1">
      <x:c r="A53" s="2" t="s">
        <x:v>146</x:v>
      </x:c>
      <x:c r="B53" s="16"/>
      <x:c r="C53" s="2" t="s">
        <x:v>131</x:v>
      </x:c>
      <x:c r="D53" s="27" t="str">
        <x:v>Biased ESR unverified; excluded from ripple estimate</x:v>
      </x:c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21.75" customHeight="1">
      <x:c r="A54" s="2" t="str">
        <x:v>Output capacitive ripple</x:v>
      </x:c>
      <x:c r="B54" s="11" t="n">
        <x:f>B33/(8*B10*B52*1E-6)*1000</x:f>
        <x:v>3.9279298312429773</x:v>
      </x:c>
      <x:c r="C54" s="2" t="s">
        <x:v>88</x:v>
      </x:c>
      <x:c r="D54" s="27" t="str">
        <x:v>CCM estimate; excludes ESR/ESL and load transients</x:v>
      </x:c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21.75" customHeight="1">
      <x:c r="A55" s="2" t="s">
        <x:v>150</x:v>
      </x:c>
      <x:c r="B55" s="11" t="str">
        <x:v>CYA1040-6.8UH</x:v>
      </x:c>
      <x:c r="C55" s="2"/>
      <x:c r="D55" s="27" t="str">
        <x:v>SHOUHAN C6364676; 8 A heat / 10 A sat specified</x:v>
      </x:c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21.75" customHeight="1">
      <x:c r="A56" s="2" t="s">
        <x:v>151</x:v>
      </x:c>
      <x:c r="B56" s="11" t="str">
        <x:v>CL32B106KBJNNNE</x:v>
      </x:c>
      <x:c r="C56" s="2"/>
      <x:c r="D56" s="27" t="str">
        <x:v>Existing Samsung 10 uF / 50 V, 1210 X7R</x:v>
      </x:c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21.75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21.75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21.75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28" customHeight="1">
      <x:c r="A60" s="109" t="str">
        <x:v>RF Divider — GRF5613 Voltage Corners</x:v>
      </x:c>
      <x:c r="B60" s="109"/>
      <x:c r="C60" s="109"/>
      <x:c r="D60" s="109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27" customHeight="1">
      <x:c r="A61" s="110" t="str">
        <x:v>Parameter</x:v>
      </x:c>
      <x:c r="B61" s="110" t="str">
        <x:v>Value</x:v>
      </x:c>
      <x:c r="C61" s="110" t="str">
        <x:v>Unit</x:v>
      </x:c>
      <x:c r="D61" s="110" t="str">
        <x:v>Assumption</x:v>
      </x:c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27" customHeight="1">
      <x:c r="A62" s="107" t="str">
        <x:v>Initial resistor tolerance</x:v>
      </x:c>
      <x:c r="B62" s="114" t="n">
        <x:v>0.01</x:v>
      </x:c>
      <x:c r="C62" s="107" t="str"/>
      <x:c r="D62" s="107" t="str">
        <x:v>Independent upper/lower limits</x:v>
      </x:c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27" customHeight="1">
      <x:c r="A63" s="107" t="str">
        <x:v>Resistor TCR magnitude</x:v>
      </x:c>
      <x:c r="B63" s="115" t="n">
        <x:v>100</x:v>
      </x:c>
      <x:c r="C63" s="107" t="str">
        <x:v>ppm/°C</x:v>
      </x:c>
      <x:c r="D63" s="107" t="str">
        <x:v>Uniroyal ±100 ppm/°C; opposite drift directions</x:v>
      </x:c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27" customHeight="1">
      <x:c r="A64" s="107" t="str">
        <x:v>Resistor temperature rise</x:v>
      </x:c>
      <x:c r="B64" s="115" t="n">
        <x:v>100</x:v>
      </x:c>
      <x:c r="C64" s="107" t="str">
        <x:v>°C</x:v>
      </x:c>
      <x:c r="D64" s="107" t="str">
        <x:v>25°C reference → 125°C resistor assumption</x:v>
      </x:c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27" customHeight="1">
      <x:c r="A65" s="107" t="str">
        <x:v>Feedback reference maximum</x:v>
      </x:c>
      <x:c r="B65" s="116" t="n">
        <x:v>0.816</x:v>
      </x:c>
      <x:c r="C65" s="107" t="str">
        <x:v>V</x:v>
      </x:c>
      <x:c r="D65" s="107" t="str">
        <x:v>TI full junction range −40°C to 150°C</x:v>
      </x:c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27" customHeight="1">
      <x:c r="A66" s="107" t="str">
        <x:v>FB input current maximum</x:v>
      </x:c>
      <x:c r="B66" s="117" t="n">
        <x:v>0.15</x:v>
      </x:c>
      <x:c r="C66" s="107" t="str">
        <x:v>µA</x:v>
      </x:c>
      <x:c r="D66" s="107" t="str">
        <x:v>TI MAX; current into FB raises output voltage</x:v>
      </x:c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27" customHeight="1">
      <x:c r="A67" s="107" t="str">
        <x:v>GRF5613 supply maximum</x:v>
      </x:c>
      <x:c r="B67" s="117" t="n">
        <x:v>5.25</x:v>
      </x:c>
      <x:c r="C67" s="107" t="str">
        <x:v>V</x:v>
      </x:c>
      <x:c r="D67" s="107" t="str">
        <x:v>Recommended operating supply upper limit</x:v>
      </x:c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27" customHeight="1">
      <x:c r="A68" s="107"/>
      <x:c r="B68" s="107"/>
      <x:c r="C68" s="107"/>
      <x:c r="D68" s="107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38" customHeight="1">
      <x:c r="A69" s="111" t="str">
        <x:v>Divider comparison</x:v>
      </x:c>
      <x:c r="B69" s="111" t="str">
        <x:v>Current</x:v>
      </x:c>
      <x:c r="C69" s="111" t="str">
        <x:v>R21 = 0 candidate</x:v>
      </x:c>
      <x:c r="D69" s="111" t="str">
        <x:v>Note</x:v>
      </x:c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36" customHeight="1">
      <x:c r="A70" s="112" t="str">
        <x:v>R upper (Ω)</x:v>
      </x:c>
      <x:c r="B70" s="120" t="n">
        <x:f>B48</x:f>
        <x:v>52500</x:v>
      </x:c>
      <x:c r="C70" s="123" t="n">
        <x:v>51000</x:v>
      </x:c>
      <x:c r="D70" s="112" t="str">
        <x:v>Current R14 51k + R21 1.5k; candidate R21 0 Ω; R22 10k unchanged</x:v>
      </x:c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36" customHeight="1">
      <x:c r="A71" s="112" t="str">
        <x:v>Nominal output (V)</x:v>
      </x:c>
      <x:c r="B71" s="121" t="n">
        <x:f>B49</x:f>
        <x:v>5</x:v>
      </x:c>
      <x:c r="C71" s="124" t="n">
        <x:f>B21*(1+C70/B46)</x:f>
        <x:v>4.88</x:v>
      </x:c>
      <x:c r="D71" s="112" t="str">
        <x:v>0.8 V reference; nominal resistors; excludes leakage</x:v>
      </x:c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36" customHeight="1">
      <x:c r="A72" s="112" t="str">
        <x:v>Initial-tolerance max (V)</x:v>
      </x:c>
      <x:c r="B72" s="121" t="n">
        <x:f>$B$65*(1+B70*(1+$B$62)/($B$46*(1-$B$62)))+$B$66*1E-6*B70*(1+$B$62)</x:f>
        <x:v>5.194499204545455</x:v>
      </x:c>
      <x:c r="C72" s="124" t="n">
        <x:f>$B$65*(1+C70*(1+$B$62)/($B$46*(1-$B$62)))+$B$66*1E-6*C70*(1+$B$62)</x:f>
        <x:v>5.0693992272727275</x:v>
      </x:c>
      <x:c r="D72" s="112" t="str">
        <x:v>VFB × (1 + Rupper/Rlower) + IFB × Rupper; no TCR</x:v>
      </x:c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36" customHeight="1">
      <x:c r="A73" s="112" t="str">
        <x:v>125°C resistor max (V)</x:v>
      </x:c>
      <x:c r="B73" s="121" t="n">
        <x:f>$B$65*(1+B70*(1+$B$62)*(1+$B$63*1E-6*$B$64)/($B$46*(1-$B$62)*(1-$B$63*1E-6*$B$64)))+$B$66*1E-6*B70*(1+$B$62)*(1+$B$63*1E-6*$B$64)</x:f>
        <x:v>5.28287258961203</x:v>
      </x:c>
      <x:c r="C73" s="124" t="n">
        <x:f>$B$65*(1+C70*(1+$B$62)*(1+$B$63*1E-6*$B$64)/($B$46*(1-$B$62)*(1-$B$63*1E-6*$B$64)))+$B$66*1E-6*C70*(1+$B$62)*(1+$B$63*1E-6*$B$64)</x:f>
        <x:v>5.155247658480257</x:v>
      </x:c>
      <x:c r="D73" s="112" t="str">
        <x:v>Initial tolerance compounded with opposing TCR drift; DC only</x:v>
      </x:c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36" customHeight="1">
      <x:c r="A74" s="113" t="str">
        <x:v>125°C DC headroom (mV)</x:v>
      </x:c>
      <x:c r="B74" s="122" t="n">
        <x:f>1000*($B$67-B73)</x:f>
        <x:v>-32.87258961202966</x:v>
      </x:c>
      <x:c r="C74" s="125" t="n">
        <x:f>1000*($B$67-C73)</x:f>
        <x:v>94.75234151974288</x:v>
      </x:c>
      <x:c r="D74" s="113" t="str">
        <x:v>5.25 V minus DC upper corner; excludes ripple and transients</x:v>
      </x:c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36" customHeight="1">
      <x:c r="A75" s="107" t="str">
        <x:v>Model scope</x:v>
      </x:c>
      <x:c r="B75" s="107" t="str">
        <x:v>DC only</x:v>
      </x:c>
      <x:c r="C75" s="107" t="str"/>
      <x:c r="D75" s="107" t="str">
        <x:v>Independent allowable corners; ripple/startup/load-release/aging unverified. R21 = 0 is unselected.</x:v>
      </x:c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36" customHeight="1">
      <x:c r="A76" s="107" t="str">
        <x:v>TPS62933 source</x:v>
      </x:c>
      <x:c r="B76" s="107" t="str">
        <x:v>§8.5, p6</x:v>
      </x:c>
      <x:c r="C76" s="107" t="str"/>
      <x:c r="D76" s="107" t="str">
        <x:v>https://www.ti.com/lit/ds/symlink/tps62933.pdf</x:v>
      </x:c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36" customHeight="1">
      <x:c r="A77" s="107" t="str">
        <x:v>GRF5613 source</x:v>
      </x:c>
      <x:c r="B77" s="107" t="str">
        <x:v>Supply limits</x:v>
      </x:c>
      <x:c r="C77" s="107" t="str"/>
      <x:c r="D77" s="107" t="str">
        <x:v>https://www.guerrilla-rf.com/includes/prodFiles/5613/GRF5613DS.pdf</x:v>
      </x:c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D1"/>
    <x:mergeCell ref="A17:D17"/>
    <x:mergeCell ref="A24:D24"/>
    <x:mergeCell ref="A44:D44"/>
    <x:mergeCell ref="A60:D60"/>
  </x:mergeCells>
  <x:hyperlinks>
    <x:hyperlink xmlns:r="http://schemas.openxmlformats.org/officeDocument/2006/relationships" ref="A1" r:id="R682fc366dd3047a6"/>
  </x:hyperlinks>
  <x:pageMargins left="0.7" right="0.7" top="0.75" bottom="0.75" header="0.3" footer="0.3"/>
  <x:legacyDrawing xmlns:r="http://schemas.openxmlformats.org/officeDocument/2006/relationships" r:id="Rbd09844828bb4d27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33" customWidth="1"/>
    <x:col min="2" max="2" width="18" customWidth="1"/>
    <x:col min="3" max="3" width="10" customWidth="1"/>
    <x:col min="4" max="4" width="63" customWidth="1"/>
    <x:col min="5" max="26" width="8.630000114440918" customWidth="1"/>
  </x:cols>
  <x:sheetData>
    <x:row r="1" ht="21.75" customHeight="1">
      <x:c r="A1" s="5" t="str">
        <x:v>TLV758 Camera 4V — superseded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2" t="s">
        <x:v>66</x:v>
      </x:c>
      <x:c r="B2" s="2" t="s">
        <x:v>39</x:v>
      </x:c>
      <x:c r="C2" s="2" t="s">
        <x:v>26</x:v>
      </x:c>
      <x:c r="D2" s="2" t="s">
        <x:v>67</x:v>
      </x:c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2" t="s">
        <x:v>159</x:v>
      </x:c>
      <x:c r="B3" s="11" t="n">
        <x:f>'LM61495 Main 5V'!B6</x:f>
        <x:v>5</x:v>
      </x:c>
      <x:c r="C3" s="2" t="s">
        <x:v>6</x:v>
      </x:c>
      <x:c r="D3" s="2" t="s">
        <x:v>160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2" t="s">
        <x:v>27</x:v>
      </x:c>
      <x:c r="B4" s="11">
        <x:v>4.0</x:v>
      </x:c>
      <x:c r="C4" s="2" t="s">
        <x:v>6</x:v>
      </x:c>
      <x:c r="D4" s="2" t="s">
        <x:v>73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2" t="s">
        <x:v>74</x:v>
      </x:c>
      <x:c r="B5" s="11" t="n">
        <x:v>0</x:v>
      </x:c>
      <x:c r="C5" s="2" t="s">
        <x:v>30</x:v>
      </x:c>
      <x:c r="D5" s="2" t="str">
        <x:v>Not fitted; retained adapters generate sensor rails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2" t="s">
        <x:v>161</x:v>
      </x:c>
      <x:c r="B6" s="11" t="n">
        <x:v>0</x:v>
      </x:c>
      <x:c r="C6" s="2" t="s">
        <x:v>30</x:v>
      </x:c>
      <x:c r="D6" s="2" t="str">
        <x:v>Excluded from active budget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2" t="s">
        <x:v>162</x:v>
      </x:c>
      <x:c r="B7" s="11" t="str">
        <x:v>Superseded</x:v>
      </x:c>
      <x:c r="C7" s="2"/>
      <x:c r="D7" s="2" t="str">
        <x:v>Use Camera 3V3 buck tab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2"/>
      <x:c r="B8" s="11"/>
      <x:c r="C8" s="2"/>
      <x:c r="D8" s="2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2"/>
      <x:c r="B9" s="11"/>
      <x:c r="C9" s="2"/>
      <x:c r="D9" s="2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2"/>
      <x:c r="B10" s="11"/>
      <x:c r="C10" s="2"/>
      <x:c r="D10" s="2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1.75" customHeight="1">
      <x:c r="A11" s="14" t="s">
        <x:v>93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2" t="s">
        <x:v>66</x:v>
      </x:c>
      <x:c r="B12" s="11" t="s">
        <x:v>39</x:v>
      </x:c>
      <x:c r="C12" s="2" t="s">
        <x:v>26</x:v>
      </x:c>
      <x:c r="D12" s="2" t="s">
        <x:v>67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1.75" customHeight="1">
      <x:c r="A13" s="2" t="s">
        <x:v>94</x:v>
      </x:c>
      <x:c r="B13" s="11">
        <x:v>0.5</x:v>
      </x:c>
      <x:c r="C13" s="2" t="s">
        <x:v>30</x:v>
      </x:c>
      <x:c r="D13" s="2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1.75" customHeight="1">
      <x:c r="A14" s="2" t="s">
        <x:v>96</x:v>
      </x:c>
      <x:c r="B14" s="12">
        <x:v>0.7</x:v>
      </x:c>
      <x:c r="C14" s="2"/>
      <x:c r="D14" s="2" t="s">
        <x:v>163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2" t="s">
        <x:v>97</x:v>
      </x:c>
      <x:c r="B15" s="11">
        <x:v>0.55</x:v>
      </x:c>
      <x:c r="C15" s="2" t="s">
        <x:v>6</x:v>
      </x:c>
      <x:c r="D15" s="2" t="s">
        <x:v>164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2" t="s">
        <x:v>165</x:v>
      </x:c>
      <x:c r="B16" s="10">
        <x:v>80.3</x:v>
      </x:c>
      <x:c r="C16" s="2" t="s">
        <x:v>166</x:v>
      </x:c>
      <x:c r="D16" s="2" t="s">
        <x:v>167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2" t="s">
        <x:v>168</x:v>
      </x:c>
      <x:c r="B17" s="17">
        <x:v>35.0</x:v>
      </x:c>
      <x:c r="C17" s="2" t="s">
        <x:v>169</x:v>
      </x:c>
      <x:c r="D17" s="9" t="s">
        <x:v>170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2"/>
      <x:c r="B18" s="11"/>
      <x:c r="C18" s="2"/>
      <x:c r="D18" s="2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2"/>
      <x:c r="B19" s="11"/>
      <x:c r="C19" s="2"/>
      <x:c r="D19" s="2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2"/>
      <x:c r="B20" s="11"/>
      <x:c r="C20" s="2"/>
      <x:c r="D20" s="2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14" t="s">
        <x:v>101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2" t="s">
        <x:v>66</x:v>
      </x:c>
      <x:c r="B22" s="11" t="s">
        <x:v>39</x:v>
      </x:c>
      <x:c r="C22" s="2" t="s">
        <x:v>26</x:v>
      </x:c>
      <x:c r="D22" s="2" t="s">
        <x:v>67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2" t="s">
        <x:v>102</x:v>
      </x:c>
      <x:c r="B23" s="11" t="n">
        <x:f>B13*B14</x:f>
        <x:v>0.35</x:v>
      </x:c>
      <x:c r="C23" s="2" t="s">
        <x:v>30</x:v>
      </x:c>
      <x:c r="D23" s="2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2" t="s">
        <x:v>171</x:v>
      </x:c>
      <x:c r="B24" s="11" t="n">
        <x:f>B23-B6</x:f>
        <x:v>0.35</x:v>
      </x:c>
      <x:c r="C24" s="2" t="s">
        <x:v>30</x:v>
      </x:c>
      <x:c r="D24" s="2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2" t="s">
        <x:v>172</x:v>
      </x:c>
      <x:c r="B25" s="11" t="n">
        <x:f>B3-B4</x:f>
        <x:v>1</x:v>
      </x:c>
      <x:c r="C25" s="2" t="s">
        <x:v>6</x:v>
      </x:c>
      <x:c r="D25" s="2" t="s">
        <x:v>173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2" t="s">
        <x:v>174</x:v>
      </x:c>
      <x:c r="B26" s="11" t="n">
        <x:f>(B3-B4)*B5</x:f>
        <x:v>0</x:v>
      </x:c>
      <x:c r="C26" s="2" t="s">
        <x:v>34</x:v>
      </x:c>
      <x:c r="D26" s="2" t="s">
        <x:v>175</x:v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2" t="s">
        <x:v>176</x:v>
      </x:c>
      <x:c r="B27" s="11" t="n">
        <x:f>(B3-B4)*B6</x:f>
        <x:v>0</x:v>
      </x:c>
      <x:c r="C27" s="2" t="s">
        <x:v>34</x:v>
      </x:c>
      <x:c r="D27" s="2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2" t="s">
        <x:v>124</x:v>
      </x:c>
      <x:c r="B28" s="11" t="n">
        <x:f>B3*B5</x:f>
        <x:v>0</x:v>
      </x:c>
      <x:c r="C28" s="2" t="s">
        <x:v>34</x:v>
      </x:c>
      <x:c r="D28" s="2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2" t="s">
        <x:v>177</x:v>
      </x:c>
      <x:c r="B29" s="11" t="n">
        <x:f>B3*B6</x:f>
        <x:v>0</x:v>
      </x:c>
      <x:c r="C29" s="2" t="s">
        <x:v>34</x:v>
      </x:c>
      <x:c r="D29" s="2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2" t="s">
        <x:v>178</x:v>
      </x:c>
      <x:c r="B30" s="10" t="n">
        <x:f>B17+B27*B16</x:f>
        <x:v>35</x:v>
      </x:c>
      <x:c r="C30" s="2" t="s">
        <x:v>169</x:v>
      </x:c>
      <x:c r="D30" s="2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"/>
      <x:c r="B31" s="11"/>
      <x:c r="C31" s="2"/>
      <x:c r="D31" s="2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2"/>
      <x:c r="B32" s="11"/>
      <x:c r="C32" s="2"/>
      <x:c r="D32" s="2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1.75" customHeight="1">
      <x:c r="A33" s="14" t="s">
        <x:v>179</x:v>
      </x:c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21.75" customHeight="1">
      <x:c r="A34" s="2" t="s">
        <x:v>66</x:v>
      </x:c>
      <x:c r="B34" s="11" t="s">
        <x:v>39</x:v>
      </x:c>
      <x:c r="C34" s="2" t="s">
        <x:v>26</x:v>
      </x:c>
      <x:c r="D34" s="2" t="s">
        <x:v>67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2" t="s">
        <x:v>130</x:v>
      </x:c>
      <x:c r="B35" s="16">
        <x:v>7500.0</x:v>
      </x:c>
      <x:c r="C35" s="2" t="s">
        <x:v>131</x:v>
      </x:c>
      <x:c r="D35" s="2" t="s">
        <x:v>132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2" t="s">
        <x:v>133</x:v>
      </x:c>
      <x:c r="B36" s="11" t="n">
        <x:f>IF(ISNUMBER(B35),B35*(B4/B15-1),"")</x:f>
        <x:v>47045.454545454544</x:v>
      </x:c>
      <x:c r="C36" s="2" t="s">
        <x:v>131</x:v>
      </x:c>
      <x:c r="D36" s="2" t="s">
        <x:v>134</x:v>
      </x:c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1.75" customHeight="1">
      <x:c r="A37" s="2" t="s">
        <x:v>135</x:v>
      </x:c>
      <x:c r="B37" s="16">
        <x:v>47000.0</x:v>
      </x:c>
      <x:c r="C37" s="2" t="s">
        <x:v>131</x:v>
      </x:c>
      <x:c r="D37" s="2" t="s">
        <x:v>136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1.75" customHeight="1">
      <x:c r="A38" s="2" t="s">
        <x:v>137</x:v>
      </x:c>
      <x:c r="B38" s="11" t="n">
        <x:f>IF(AND(COUNT(B35,B37)=2,B35&gt;0),B15*(1+B37/B35),"")</x:f>
        <x:v>3.996666666666667</x:v>
      </x:c>
      <x:c r="C38" s="2" t="s">
        <x:v>6</x:v>
      </x:c>
      <x:c r="D38" s="2" t="s">
        <x:v>180</x:v>
      </x:c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1.75" customHeight="1">
      <x:c r="A39" s="2" t="s">
        <x:v>151</x:v>
      </x:c>
      <x:c r="B39" s="11"/>
      <x:c r="C39" s="2"/>
      <x:c r="D39" s="2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1.75" customHeight="1">
      <x:c r="A40" s="2" t="s">
        <x:v>144</x:v>
      </x:c>
      <x:c r="B40" s="16">
        <x:v>8.0</x:v>
      </x:c>
      <x:c r="C40" s="2" t="s">
        <x:v>140</x:v>
      </x:c>
      <x:c r="D40" s="2" t="s">
        <x:v>181</x:v>
      </x:c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21.75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21.75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1.75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1.75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1.75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1.75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1.75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1.75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1.75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21.75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21.75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21.75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21.75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21.75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21.75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21.75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21.75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21.75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21.75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D1"/>
    <x:mergeCell ref="A11:D11"/>
    <x:mergeCell ref="A21:D21"/>
    <x:mergeCell ref="A33:D33"/>
  </x:mergeCells>
  <x:hyperlinks>
    <x:hyperlink xmlns:r="http://schemas.openxmlformats.org/officeDocument/2006/relationships" ref="A1" r:id="R455ca13b36524d85"/>
  </x:hyperlinks>
  <x:pageMargins left="0.7" right="0.7" top="0.75" bottom="0.75" header="0.3" footer="0.3"/>
  <x:legacyDrawing xmlns:r="http://schemas.openxmlformats.org/officeDocument/2006/relationships" r:id="R5ac922283d0c4a4e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33" customWidth="1"/>
    <x:col min="2" max="2" width="18" customWidth="1"/>
    <x:col min="3" max="3" width="10" customWidth="1"/>
    <x:col min="4" max="4" width="63" customWidth="1"/>
    <x:col min="5" max="26" width="8.630000114440918" customWidth="1"/>
  </x:cols>
  <x:sheetData>
    <x:row r="1" ht="21.75" customHeight="1">
      <x:c r="A1" s="5" t="str">
        <x:v>TLV758 Camera 1V8 — superseded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1.75" customHeight="1">
      <x:c r="A2" s="2" t="s">
        <x:v>66</x:v>
      </x:c>
      <x:c r="B2" s="2" t="s">
        <x:v>39</x:v>
      </x:c>
      <x:c r="C2" s="2" t="s">
        <x:v>26</x:v>
      </x:c>
      <x:c r="D2" s="2" t="s">
        <x:v>67</x:v>
      </x:c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1.75" customHeight="1">
      <x:c r="A3" s="2" t="s">
        <x:v>159</x:v>
      </x:c>
      <x:c r="B3" s="11" t="n">
        <x:f>'Power budget'!B28</x:f>
        <x:v>3.3</x:v>
      </x:c>
      <x:c r="C3" s="2" t="s">
        <x:v>6</x:v>
      </x:c>
      <x:c r="D3" s="2" t="s">
        <x:v>160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1.75" customHeight="1">
      <x:c r="A4" s="2" t="s">
        <x:v>27</x:v>
      </x:c>
      <x:c r="B4" s="11">
        <x:v>1.8</x:v>
      </x:c>
      <x:c r="C4" s="2" t="s">
        <x:v>6</x:v>
      </x:c>
      <x:c r="D4" s="2" t="s">
        <x:v>73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1.75" customHeight="1">
      <x:c r="A5" s="2" t="s">
        <x:v>74</x:v>
      </x:c>
      <x:c r="B5" s="11" t="n">
        <x:v>0</x:v>
      </x:c>
      <x:c r="C5" s="2" t="s">
        <x:v>30</x:v>
      </x:c>
      <x:c r="D5" s="2" t="str">
        <x:v>Not fitted; retained adapters generate sensor rails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1.75" customHeight="1">
      <x:c r="A6" s="2" t="s">
        <x:v>161</x:v>
      </x:c>
      <x:c r="B6" s="11" t="n">
        <x:v>0</x:v>
      </x:c>
      <x:c r="C6" s="2" t="s">
        <x:v>30</x:v>
      </x:c>
      <x:c r="D6" s="2" t="str">
        <x:v>Excluded from active budget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1.75" customHeight="1">
      <x:c r="A7" s="2" t="s">
        <x:v>162</x:v>
      </x:c>
      <x:c r="B7" s="11" t="str">
        <x:v>Superseded</x:v>
      </x:c>
      <x:c r="C7" s="2"/>
      <x:c r="D7" s="2" t="str">
        <x:v>Use Camera 3V3 buck tab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1.75" customHeight="1">
      <x:c r="A8" s="2"/>
      <x:c r="B8" s="11"/>
      <x:c r="C8" s="2"/>
      <x:c r="D8" s="2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1.75" customHeight="1">
      <x:c r="A9" s="2"/>
      <x:c r="B9" s="11"/>
      <x:c r="C9" s="2"/>
      <x:c r="D9" s="2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1.75" customHeight="1">
      <x:c r="A10" s="2"/>
      <x:c r="B10" s="11"/>
      <x:c r="C10" s="2"/>
      <x:c r="D10" s="2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1.75" customHeight="1">
      <x:c r="A11" s="14" t="s">
        <x:v>93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1.75" customHeight="1">
      <x:c r="A12" s="2" t="s">
        <x:v>66</x:v>
      </x:c>
      <x:c r="B12" s="11" t="s">
        <x:v>39</x:v>
      </x:c>
      <x:c r="C12" s="2" t="s">
        <x:v>26</x:v>
      </x:c>
      <x:c r="D12" s="2" t="s">
        <x:v>67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1.75" customHeight="1">
      <x:c r="A13" s="2" t="s">
        <x:v>94</x:v>
      </x:c>
      <x:c r="B13" s="11">
        <x:v>0.5</x:v>
      </x:c>
      <x:c r="C13" s="2" t="s">
        <x:v>30</x:v>
      </x:c>
      <x:c r="D13" s="2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1.75" customHeight="1">
      <x:c r="A14" s="2" t="s">
        <x:v>96</x:v>
      </x:c>
      <x:c r="B14" s="12">
        <x:v>0.7</x:v>
      </x:c>
      <x:c r="C14" s="2"/>
      <x:c r="D14" s="2" t="s">
        <x:v>163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1.75" customHeight="1">
      <x:c r="A15" s="2" t="s">
        <x:v>97</x:v>
      </x:c>
      <x:c r="B15" s="11">
        <x:v>0.55</x:v>
      </x:c>
      <x:c r="C15" s="2" t="s">
        <x:v>6</x:v>
      </x:c>
      <x:c r="D15" s="2" t="s">
        <x:v>164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1.75" customHeight="1">
      <x:c r="A16" s="2" t="s">
        <x:v>165</x:v>
      </x:c>
      <x:c r="B16" s="10">
        <x:v>80.3</x:v>
      </x:c>
      <x:c r="C16" s="2" t="s">
        <x:v>166</x:v>
      </x:c>
      <x:c r="D16" s="9" t="s">
        <x:v>182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1.75" customHeight="1">
      <x:c r="A17" s="2" t="s">
        <x:v>168</x:v>
      </x:c>
      <x:c r="B17" s="17">
        <x:v>35.0</x:v>
      </x:c>
      <x:c r="C17" s="2" t="s">
        <x:v>169</x:v>
      </x:c>
      <x:c r="D17" s="2" t="s">
        <x:v>183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1.75" customHeight="1">
      <x:c r="A18" s="2"/>
      <x:c r="B18" s="11"/>
      <x:c r="C18" s="2"/>
      <x:c r="D18" s="2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1.75" customHeight="1">
      <x:c r="A19" s="2"/>
      <x:c r="B19" s="11"/>
      <x:c r="C19" s="2"/>
      <x:c r="D19" s="2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1.75" customHeight="1">
      <x:c r="A20" s="2"/>
      <x:c r="B20" s="11"/>
      <x:c r="C20" s="2"/>
      <x:c r="D20" s="2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1.75" customHeight="1">
      <x:c r="A21" s="14" t="s">
        <x:v>101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1.75" customHeight="1">
      <x:c r="A22" s="2" t="s">
        <x:v>66</x:v>
      </x:c>
      <x:c r="B22" s="11" t="s">
        <x:v>39</x:v>
      </x:c>
      <x:c r="C22" s="2" t="s">
        <x:v>26</x:v>
      </x:c>
      <x:c r="D22" s="2" t="s">
        <x:v>67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1.75" customHeight="1">
      <x:c r="A23" s="2" t="s">
        <x:v>102</x:v>
      </x:c>
      <x:c r="B23" s="11" t="n">
        <x:f>B13*B14</x:f>
        <x:v>0.35</x:v>
      </x:c>
      <x:c r="C23" s="2" t="s">
        <x:v>30</x:v>
      </x:c>
      <x:c r="D23" s="2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1.75" customHeight="1">
      <x:c r="A24" s="2" t="s">
        <x:v>171</x:v>
      </x:c>
      <x:c r="B24" s="11" t="n">
        <x:f>B23-B6</x:f>
        <x:v>0.35</x:v>
      </x:c>
      <x:c r="C24" s="2" t="s">
        <x:v>30</x:v>
      </x:c>
      <x:c r="D24" s="2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1.75" customHeight="1">
      <x:c r="A25" s="2" t="s">
        <x:v>172</x:v>
      </x:c>
      <x:c r="B25" s="11" t="n">
        <x:f>B3-B4</x:f>
        <x:v>1.4999999999999998</x:v>
      </x:c>
      <x:c r="C25" s="2" t="s">
        <x:v>6</x:v>
      </x:c>
      <x:c r="D25" s="2" t="s">
        <x:v>173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1.75" customHeight="1">
      <x:c r="A26" s="2" t="s">
        <x:v>174</x:v>
      </x:c>
      <x:c r="B26" s="11" t="n">
        <x:f>(B3-B4)*B5</x:f>
        <x:v>0</x:v>
      </x:c>
      <x:c r="C26" s="2" t="s">
        <x:v>34</x:v>
      </x:c>
      <x:c r="D26" s="2" t="s">
        <x:v>175</x:v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1.75" customHeight="1">
      <x:c r="A27" s="2" t="s">
        <x:v>176</x:v>
      </x:c>
      <x:c r="B27" s="11" t="n">
        <x:f>(B3-B4)*B6</x:f>
        <x:v>0</x:v>
      </x:c>
      <x:c r="C27" s="2" t="s">
        <x:v>34</x:v>
      </x:c>
      <x:c r="D27" s="2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1.75" customHeight="1">
      <x:c r="A28" s="2" t="s">
        <x:v>124</x:v>
      </x:c>
      <x:c r="B28" s="11" t="n">
        <x:f>B3*B5</x:f>
        <x:v>0</x:v>
      </x:c>
      <x:c r="C28" s="2" t="s">
        <x:v>34</x:v>
      </x:c>
      <x:c r="D28" s="2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1.75" customHeight="1">
      <x:c r="A29" s="2" t="s">
        <x:v>177</x:v>
      </x:c>
      <x:c r="B29" s="11" t="n">
        <x:f>B3*B6</x:f>
        <x:v>0</x:v>
      </x:c>
      <x:c r="C29" s="2" t="s">
        <x:v>34</x:v>
      </x:c>
      <x:c r="D29" s="2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1.75" customHeight="1">
      <x:c r="A30" s="2" t="s">
        <x:v>178</x:v>
      </x:c>
      <x:c r="B30" s="10" t="n">
        <x:f>B17+B27*B16</x:f>
        <x:v>35</x:v>
      </x:c>
      <x:c r="C30" s="2" t="s">
        <x:v>169</x:v>
      </x:c>
      <x:c r="D30" s="9" t="s">
        <x:v>184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21.75" customHeight="1">
      <x:c r="A31" s="2"/>
      <x:c r="B31" s="11"/>
      <x:c r="C31" s="2"/>
      <x:c r="D31" s="2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21.75" customHeight="1">
      <x:c r="A32" s="2"/>
      <x:c r="B32" s="11"/>
      <x:c r="C32" s="2"/>
      <x:c r="D32" s="2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1.75" customHeight="1">
      <x:c r="A33" s="14" t="s">
        <x:v>179</x:v>
      </x:c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21.75" customHeight="1">
      <x:c r="A34" s="2" t="s">
        <x:v>66</x:v>
      </x:c>
      <x:c r="B34" s="11" t="s">
        <x:v>39</x:v>
      </x:c>
      <x:c r="C34" s="2" t="s">
        <x:v>26</x:v>
      </x:c>
      <x:c r="D34" s="2" t="s">
        <x:v>67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21.75" customHeight="1">
      <x:c r="A35" s="2" t="s">
        <x:v>130</x:v>
      </x:c>
      <x:c r="B35" s="16">
        <x:v>22000.0</x:v>
      </x:c>
      <x:c r="C35" s="2" t="s">
        <x:v>131</x:v>
      </x:c>
      <x:c r="D35" s="2" t="s">
        <x:v>132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21.75" customHeight="1">
      <x:c r="A36" s="2" t="s">
        <x:v>133</x:v>
      </x:c>
      <x:c r="B36" s="11" t="n">
        <x:f>IF(ISNUMBER(B35),B35*(B4/B15-1),"")</x:f>
        <x:v>49999.99999999999</x:v>
      </x:c>
      <x:c r="C36" s="2" t="s">
        <x:v>131</x:v>
      </x:c>
      <x:c r="D36" s="2" t="s">
        <x:v>134</x:v>
      </x:c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21.75" customHeight="1">
      <x:c r="A37" s="2" t="s">
        <x:v>135</x:v>
      </x:c>
      <x:c r="B37" s="16">
        <x:v>51000.0</x:v>
      </x:c>
      <x:c r="C37" s="2" t="s">
        <x:v>131</x:v>
      </x:c>
      <x:c r="D37" s="2" t="s">
        <x:v>136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1.75" customHeight="1">
      <x:c r="A38" s="2" t="s">
        <x:v>137</x:v>
      </x:c>
      <x:c r="B38" s="11" t="n">
        <x:f>IF(AND(COUNT(B35,B37)=2,B35&gt;0),B15*(1+B37/B35),"")</x:f>
        <x:v>1.8250000000000002</x:v>
      </x:c>
      <x:c r="C38" s="2" t="s">
        <x:v>6</x:v>
      </x:c>
      <x:c r="D38" s="2" t="s">
        <x:v>180</x:v>
      </x:c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21.75" customHeight="1">
      <x:c r="A39" s="2" t="s">
        <x:v>151</x:v>
      </x:c>
      <x:c r="B39" s="11"/>
      <x:c r="C39" s="2"/>
      <x:c r="D39" s="2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21.75" customHeight="1">
      <x:c r="A40" s="2" t="s">
        <x:v>144</x:v>
      </x:c>
      <x:c r="B40" s="16">
        <x:v>8.0</x:v>
      </x:c>
      <x:c r="C40" s="2" t="s">
        <x:v>140</x:v>
      </x:c>
      <x:c r="D40" s="2" t="s">
        <x:v>181</x:v>
      </x:c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21.75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21.75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1.75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1.75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1.75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1.75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1.75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1.75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1.75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21.75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21.75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21.75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21.75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21.75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21.75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21.75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21.75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21.75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21.75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D1"/>
    <x:mergeCell ref="A11:D11"/>
    <x:mergeCell ref="A21:D21"/>
    <x:mergeCell ref="A33:D33"/>
  </x:mergeCells>
  <x:hyperlinks>
    <x:hyperlink xmlns:r="http://schemas.openxmlformats.org/officeDocument/2006/relationships" ref="A1" r:id="R11c5110693dc478b"/>
  </x:hyperlinks>
  <x:pageMargins left="0.7" right="0.7" top="0.75" bottom="0.75" header="0.3" footer="0.3"/>
  <x:legacyDrawing xmlns:r="http://schemas.openxmlformats.org/officeDocument/2006/relationships" r:id="R7a7ee2d4cdbe4f06"/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10" hidden="0" customWidth="1"/>
    <x:col min="4" max="4" width="63" hidden="0" customWidth="1"/>
  </x:cols>
  <x:sheetData>
    <x:row r="1" ht="21.75" customHeight="1">
      <x:c r="A1" s="26" t="str">
        <x:v>TPS62933FDRLR Camera 3.3 V</x:v>
      </x:c>
      <x:c r="B1" s="26"/>
      <x:c r="C1" s="26"/>
      <x:c r="D1" s="30"/>
    </x:row>
    <x:row r="2" ht="21.75" customHeight="1">
      <x:c r="A2" s="18" t="s">
        <x:v>66</x:v>
      </x:c>
      <x:c r="B2" s="18" t="s">
        <x:v>39</x:v>
      </x:c>
      <x:c r="C2" s="18" t="s">
        <x:v>26</x:v>
      </x:c>
      <x:c r="D2" s="31" t="s">
        <x:v>67</x:v>
      </x:c>
    </x:row>
    <x:row r="3" ht="21.75" customHeight="1">
      <x:c r="A3" s="18" t="s">
        <x:v>68</x:v>
      </x:c>
      <x:c r="B3" s="19" t="n">
        <x:f>Battery!B8</x:f>
        <x:v>9</x:v>
      </x:c>
      <x:c r="C3" s="18" t="s">
        <x:v>6</x:v>
      </x:c>
      <x:c r="D3" s="31" t="s">
        <x:v>69</x:v>
      </x:c>
    </x:row>
    <x:row r="4" ht="21.75" customHeight="1">
      <x:c r="A4" s="18" t="s">
        <x:v>70</x:v>
      </x:c>
      <x:c r="B4" s="19" t="n">
        <x:f>Battery!B15</x:f>
        <x:v>10.8</x:v>
      </x:c>
      <x:c r="C4" s="18" t="s">
        <x:v>6</x:v>
      </x:c>
      <x:c r="D4" s="31" t="s">
        <x:v>71</x:v>
      </x:c>
    </x:row>
    <x:row r="5" ht="21.75" customHeight="1">
      <x:c r="A5" s="18" t="s">
        <x:v>72</x:v>
      </x:c>
      <x:c r="B5" s="19" t="n">
        <x:f>Battery!B16</x:f>
        <x:v>12.600000000000001</x:v>
      </x:c>
      <x:c r="C5" s="18" t="s">
        <x:v>6</x:v>
      </x:c>
      <x:c r="D5" s="31" t="str">
        <x:v>VBAT input; 12 V bench fits range; transients separate</x:v>
      </x:c>
    </x:row>
    <x:row r="6" ht="21.75" customHeight="1">
      <x:c r="A6" s="18" t="s">
        <x:v>27</x:v>
      </x:c>
      <x:c r="B6" s="19" t="n">
        <x:f>B49</x:f>
        <x:v>3.3066666666666666</x:v>
      </x:c>
      <x:c r="C6" s="18" t="s">
        <x:v>6</x:v>
      </x:c>
      <x:c r="D6" s="31" t="str">
        <x:v>3V3_CAM buck output → CAM_3V3 inputs, J301.22 / J302.22</x:v>
      </x:c>
    </x:row>
    <x:row r="7" ht="21.75" customHeight="1">
      <x:c r="A7" s="18" t="s">
        <x:v>74</x:v>
      </x:c>
      <x:c r="B7" s="19" t="n">
        <x:f>'Power budget'!D12</x:f>
        <x:v>0.35</x:v>
      </x:c>
      <x:c r="C7" s="18" t="s">
        <x:v>30</x:v>
      </x:c>
      <x:c r="D7" s="31" t="s">
        <x:v>75</x:v>
      </x:c>
    </x:row>
    <x:row r="8" ht="21.75" customHeight="1">
      <x:c r="A8" s="18" t="s">
        <x:v>76</x:v>
      </x:c>
      <x:c r="B8" s="19" t="n">
        <x:f>'Power budget'!E12</x:f>
        <x:v>0.6</x:v>
      </x:c>
      <x:c r="C8" s="18" t="s">
        <x:v>30</x:v>
      </x:c>
      <x:c r="D8" s="31" t="s">
        <x:v>77</x:v>
      </x:c>
    </x:row>
    <x:row r="9" ht="21.75" customHeight="1">
      <x:c r="A9" s="18" t="s">
        <x:v>78</x:v>
      </x:c>
      <x:c r="B9" s="19" t="n">
        <x:v>1</x:v>
      </x:c>
      <x:c r="C9" s="18" t="s">
        <x:v>30</x:v>
      </x:c>
      <x:c r="D9" s="31" t="str">
        <x:v>Operating calculation allocation; startup unmeasured</x:v>
      </x:c>
    </x:row>
    <x:row r="10" ht="21.75" customHeight="1">
      <x:c r="A10" s="18" t="s">
        <x:v>80</x:v>
      </x:c>
      <x:c r="B10" s="20" t="n">
        <x:v>500000</x:v>
      </x:c>
      <x:c r="C10" s="18" t="s">
        <x:v>81</x:v>
      </x:c>
      <x:c r="D10" s="31" t="s">
        <x:v>154</x:v>
      </x:c>
    </x:row>
    <x:row r="11" ht="21.75" customHeight="1">
      <x:c r="A11" s="18" t="s">
        <x:v>83</x:v>
      </x:c>
      <x:c r="B11" s="21" t="n">
        <x:v>0.3</x:v>
      </x:c>
      <x:c r="C11" s="18"/>
      <x:c r="D11" s="31" t="s">
        <x:v>84</x:v>
      </x:c>
    </x:row>
    <x:row r="12" ht="21.75" customHeight="1">
      <x:c r="A12" s="18" t="s">
        <x:v>85</x:v>
      </x:c>
      <x:c r="B12" s="21" t="n">
        <x:v>0.85</x:v>
      </x:c>
      <x:c r="C12" s="18"/>
      <x:c r="D12" s="31" t="str">
        <x:v>Assumed low-load efficiency; requires measurement</x:v>
      </x:c>
    </x:row>
    <x:row r="13" ht="21.75" customHeight="1">
      <x:c r="A13" s="18" t="s">
        <x:v>87</x:v>
      </x:c>
      <x:c r="B13" s="19" t="n">
        <x:v>20</x:v>
      </x:c>
      <x:c r="C13" s="18" t="s">
        <x:v>88</x:v>
      </x:c>
      <x:c r="D13" s="31" t="s">
        <x:v>89</x:v>
      </x:c>
    </x:row>
    <x:row r="14" ht="21.75" customHeight="1">
      <x:c r="A14" s="18" t="s">
        <x:v>90</x:v>
      </x:c>
      <x:c r="B14" s="19" t="n">
        <x:v>20</x:v>
      </x:c>
      <x:c r="C14" s="18" t="s">
        <x:v>91</x:v>
      </x:c>
      <x:c r="D14" s="31" t="s">
        <x:v>92</x:v>
      </x:c>
    </x:row>
    <x:row r="15" ht="21.75" customHeight="1">
      <x:c r="A15" s="18"/>
      <x:c r="B15" s="19"/>
      <x:c r="C15" s="18"/>
      <x:c r="D15" s="31"/>
    </x:row>
    <x:row r="16" ht="21.75" customHeight="1">
      <x:c r="A16" s="18"/>
      <x:c r="B16" s="19"/>
      <x:c r="C16" s="18"/>
      <x:c r="D16" s="31"/>
    </x:row>
    <x:row r="17" ht="21.75" customHeight="1">
      <x:c r="A17" s="23" t="s">
        <x:v>93</x:v>
      </x:c>
      <x:c r="B17" s="25"/>
      <x:c r="C17" s="23"/>
      <x:c r="D17" s="32"/>
    </x:row>
    <x:row r="18" ht="21.75" customHeight="1">
      <x:c r="A18" s="18" t="s">
        <x:v>66</x:v>
      </x:c>
      <x:c r="B18" s="19" t="s">
        <x:v>39</x:v>
      </x:c>
      <x:c r="C18" s="18" t="s">
        <x:v>26</x:v>
      </x:c>
      <x:c r="D18" s="31" t="s">
        <x:v>67</x:v>
      </x:c>
    </x:row>
    <x:row r="19" ht="21.75" customHeight="1">
      <x:c r="A19" s="18" t="s">
        <x:v>94</x:v>
      </x:c>
      <x:c r="B19" s="19" t="n">
        <x:v>3</x:v>
      </x:c>
      <x:c r="C19" s="18" t="s">
        <x:v>30</x:v>
      </x:c>
      <x:c r="D19" s="31" t="s">
        <x:v>95</x:v>
      </x:c>
    </x:row>
    <x:row r="20" ht="21.75" customHeight="1">
      <x:c r="A20" s="18" t="s">
        <x:v>96</x:v>
      </x:c>
      <x:c r="B20" s="19" t="n">
        <x:v>0.7</x:v>
      </x:c>
      <x:c r="C20" s="18"/>
      <x:c r="D20" s="31" t="s">
        <x:v>155</x:v>
      </x:c>
    </x:row>
    <x:row r="21" ht="21.75" customHeight="1">
      <x:c r="A21" s="18" t="s">
        <x:v>97</x:v>
      </x:c>
      <x:c r="B21" s="19" t="n">
        <x:v>0.8</x:v>
      </x:c>
      <x:c r="C21" s="18" t="s">
        <x:v>6</x:v>
      </x:c>
      <x:c r="D21" s="31" t="s">
        <x:v>156</x:v>
      </x:c>
    </x:row>
    <x:row r="22" ht="21.75" customHeight="1">
      <x:c r="A22" s="18" t="s">
        <x:v>99</x:v>
      </x:c>
      <x:c r="B22" s="19" t="n">
        <x:v>5.8</x:v>
      </x:c>
      <x:c r="C22" s="18" t="s">
        <x:v>30</x:v>
      </x:c>
      <x:c r="D22" s="31" t="s">
        <x:v>100</x:v>
      </x:c>
    </x:row>
    <x:row r="23" ht="21.75" customHeight="1">
      <x:c r="A23" s="18"/>
      <x:c r="B23" s="19"/>
      <x:c r="C23" s="18"/>
      <x:c r="D23" s="31"/>
    </x:row>
    <x:row r="24" ht="21.75" customHeight="1">
      <x:c r="A24" s="23" t="s">
        <x:v>101</x:v>
      </x:c>
      <x:c r="B24" s="25"/>
      <x:c r="C24" s="23"/>
      <x:c r="D24" s="32"/>
    </x:row>
    <x:row r="25" ht="21.75" customHeight="1">
      <x:c r="A25" s="18" t="s">
        <x:v>66</x:v>
      </x:c>
      <x:c r="B25" s="19" t="s">
        <x:v>39</x:v>
      </x:c>
      <x:c r="C25" s="18" t="s">
        <x:v>26</x:v>
      </x:c>
      <x:c r="D25" s="31" t="s">
        <x:v>67</x:v>
      </x:c>
    </x:row>
    <x:row r="26" ht="21.75" customHeight="1">
      <x:c r="A26" s="18" t="s">
        <x:v>102</x:v>
      </x:c>
      <x:c r="B26" s="19" t="n">
        <x:f>B19*B20</x:f>
        <x:v>2.0999999999999996</x:v>
      </x:c>
      <x:c r="C26" s="18" t="s">
        <x:v>30</x:v>
      </x:c>
      <x:c r="D26" s="31"/>
    </x:row>
    <x:row r="27" ht="21.75" customHeight="1">
      <x:c r="A27" s="18" t="s">
        <x:v>103</x:v>
      </x:c>
      <x:c r="B27" s="19" t="n">
        <x:f>B9-B8</x:f>
        <x:v>0.4</x:v>
      </x:c>
      <x:c r="C27" s="18" t="s">
        <x:v>30</x:v>
      </x:c>
      <x:c r="D27" s="31" t="s">
        <x:v>104</x:v>
      </x:c>
    </x:row>
    <x:row r="28" ht="21.75" customHeight="1">
      <x:c r="A28" s="18" t="s">
        <x:v>105</x:v>
      </x:c>
      <x:c r="B28" s="21" t="n">
        <x:f>B6/B5</x:f>
        <x:v>0.2624338624338624</x:v>
      </x:c>
      <x:c r="C28" s="18"/>
      <x:c r="D28" s="31" t="s">
        <x:v>106</x:v>
      </x:c>
    </x:row>
    <x:row r="29" ht="21.75" customHeight="1">
      <x:c r="A29" s="18" t="s">
        <x:v>107</x:v>
      </x:c>
      <x:c r="B29" s="21" t="n">
        <x:f>B6/B3</x:f>
        <x:v>0.3674074074074074</x:v>
      </x:c>
      <x:c r="C29" s="18"/>
      <x:c r="D29" s="31" t="s">
        <x:v>106</x:v>
      </x:c>
    </x:row>
    <x:row r="30" ht="21.75" customHeight="1">
      <x:c r="A30" s="18" t="s">
        <x:v>108</x:v>
      </x:c>
      <x:c r="B30" s="19" t="n">
        <x:f>B19*B11</x:f>
        <x:v>0.8999999999999999</x:v>
      </x:c>
      <x:c r="C30" s="18" t="s">
        <x:v>109</x:v>
      </x:c>
      <x:c r="D30" s="31" t="s">
        <x:v>110</x:v>
      </x:c>
    </x:row>
    <x:row r="31" ht="21.75" customHeight="1">
      <x:c r="A31" s="18" t="s">
        <x:v>111</x:v>
      </x:c>
      <x:c r="B31" s="19" t="n">
        <x:f>B6*(1-B6/B5)/(B30*B10)*1000000</x:f>
        <x:v>5.419745247893397</x:v>
      </x:c>
      <x:c r="C31" s="18" t="s">
        <x:v>112</x:v>
      </x:c>
      <x:c r="D31" s="31" t="s">
        <x:v>157</x:v>
      </x:c>
    </x:row>
    <x:row r="32" ht="21.75" customHeight="1">
      <x:c r="A32" s="18" t="s">
        <x:v>114</x:v>
      </x:c>
      <x:c r="B32" s="19" t="n">
        <x:v>6.8</x:v>
      </x:c>
      <x:c r="C32" s="18" t="s">
        <x:v>112</x:v>
      </x:c>
      <x:c r="D32" s="31" t="str">
        <x:v>6.8 uH ±20%; hot/DC inductance not verified</x:v>
      </x:c>
    </x:row>
    <x:row r="33" ht="21.75" customHeight="1">
      <x:c r="A33" s="18" t="s">
        <x:v>115</x:v>
      </x:c>
      <x:c r="B33" s="19" t="n">
        <x:f>IF(AND(ISNUMBER(B32),B32&gt;0),B6*(1-B6/B5)/(B32*0.000001*B10),"")</x:f>
        <x:v>0.7173192239858908</x:v>
      </x:c>
      <x:c r="C33" s="18" t="s">
        <x:v>109</x:v>
      </x:c>
      <x:c r="D33" s="31" t="s">
        <x:v>116</x:v>
      </x:c>
    </x:row>
    <x:row r="34" ht="21.75" customHeight="1">
      <x:c r="A34" s="18" t="s">
        <x:v>117</x:v>
      </x:c>
      <x:c r="B34" s="19" t="n">
        <x:f>IF(ISNUMBER(B33),B9+B33/2,"")</x:f>
        <x:v>1.3586596119929455</x:v>
      </x:c>
      <x:c r="C34" s="18" t="s">
        <x:v>30</x:v>
      </x:c>
      <x:c r="D34" s="31" t="s">
        <x:v>118</x:v>
      </x:c>
    </x:row>
    <x:row r="35" ht="21.75" customHeight="1">
      <x:c r="A35" s="18" t="s">
        <x:v>119</x:v>
      </x:c>
      <x:c r="B35" s="19" t="n">
        <x:f>IF(ISNUMBER(B33),SQRT(B9^2+B33^2/12),"")</x:f>
        <x:v>1.021214426924292</x:v>
      </x:c>
      <x:c r="C35" s="18" t="s">
        <x:v>30</x:v>
      </x:c>
      <x:c r="D35" s="31" t="s">
        <x:v>120</x:v>
      </x:c>
    </x:row>
    <x:row r="36" ht="21.75" customHeight="1">
      <x:c r="A36" s="18" t="s">
        <x:v>121</x:v>
      </x:c>
      <x:c r="B36" s="19" t="n">
        <x:f>B6*B7</x:f>
        <x:v>1.1573333333333333</x:v>
      </x:c>
      <x:c r="C36" s="18" t="s">
        <x:v>34</x:v>
      </x:c>
      <x:c r="D36" s="31"/>
    </x:row>
    <x:row r="37" ht="21.75" customHeight="1">
      <x:c r="A37" s="18" t="s">
        <x:v>122</x:v>
      </x:c>
      <x:c r="B37" s="19" t="n">
        <x:f>B6*B8</x:f>
        <x:v>1.984</x:v>
      </x:c>
      <x:c r="C37" s="18" t="s">
        <x:v>34</x:v>
      </x:c>
      <x:c r="D37" s="31" t="s">
        <x:v>123</x:v>
      </x:c>
    </x:row>
    <x:row r="38" ht="21.75" customHeight="1">
      <x:c r="A38" s="18" t="s">
        <x:v>124</x:v>
      </x:c>
      <x:c r="B38" s="19" t="n">
        <x:f>IF(AND(ISNUMBER(B12),B12&gt;0,B12&lt;=1),B36/B12,NA())</x:f>
        <x:v>1.3615686274509804</x:v>
      </x:c>
      <x:c r="C38" s="18" t="s">
        <x:v>34</x:v>
      </x:c>
      <x:c r="D38" s="31"/>
    </x:row>
    <x:row r="39" ht="21.75" customHeight="1">
      <x:c r="A39" s="18" t="s">
        <x:v>125</x:v>
      </x:c>
      <x:c r="B39" s="19" t="n">
        <x:f>IF(AND(ISNUMBER(B12),B12&gt;0,B12&lt;=1),B37/B12,NA())</x:f>
        <x:v>2.3341176470588234</x:v>
      </x:c>
      <x:c r="C39" s="18" t="s">
        <x:v>34</x:v>
      </x:c>
      <x:c r="D39" s="31"/>
    </x:row>
    <x:row r="40" ht="21.75" customHeight="1">
      <x:c r="A40" s="18" t="s">
        <x:v>126</x:v>
      </x:c>
      <x:c r="B40" s="19" t="n">
        <x:f>B38-B36</x:f>
        <x:v>0.20423529411764707</x:v>
      </x:c>
      <x:c r="C40" s="18" t="s">
        <x:v>34</x:v>
      </x:c>
      <x:c r="D40" s="31" t="s">
        <x:v>127</x:v>
      </x:c>
    </x:row>
    <x:row r="41" ht="21.75" customHeight="1">
      <x:c r="A41" s="18" t="s">
        <x:v>128</x:v>
      </x:c>
      <x:c r="B41" s="19" t="n">
        <x:f>B39-B37</x:f>
        <x:v>0.3501176470588234</x:v>
      </x:c>
      <x:c r="C41" s="18" t="s">
        <x:v>34</x:v>
      </x:c>
      <x:c r="D41" s="31" t="s">
        <x:v>127</x:v>
      </x:c>
    </x:row>
    <x:row r="42" ht="21.75" customHeight="1">
      <x:c r="A42" s="18"/>
      <x:c r="B42" s="19"/>
      <x:c r="C42" s="18"/>
      <x:c r="D42" s="31"/>
    </x:row>
    <x:row r="43" ht="21.75" customHeight="1">
      <x:c r="A43" s="18"/>
      <x:c r="B43" s="19"/>
      <x:c r="C43" s="18"/>
      <x:c r="D43" s="31"/>
    </x:row>
    <x:row r="44" ht="21.75" customHeight="1">
      <x:c r="A44" s="23" t="s">
        <x:v>129</x:v>
      </x:c>
      <x:c r="B44" s="25"/>
      <x:c r="C44" s="23"/>
      <x:c r="D44" s="32"/>
    </x:row>
    <x:row r="45" ht="21.75" customHeight="1">
      <x:c r="A45" s="18" t="s">
        <x:v>66</x:v>
      </x:c>
      <x:c r="B45" s="19" t="s">
        <x:v>39</x:v>
      </x:c>
      <x:c r="C45" s="18" t="s">
        <x:v>26</x:v>
      </x:c>
      <x:c r="D45" s="31" t="s">
        <x:v>67</x:v>
      </x:c>
    </x:row>
    <x:row r="46" ht="34" customHeight="1">
      <x:c r="A46" s="18" t="s">
        <x:v>130</x:v>
      </x:c>
      <x:c r="B46" s="28" t="n">
        <x:v>15000</x:v>
      </x:c>
      <x:c r="C46" s="18" t="s">
        <x:v>131</x:v>
      </x:c>
      <x:c r="D46" s="31" t="str">
        <x:v>R18; 0402WGF1502TCE; C25756; 1%; ±100 ppm/°C</x:v>
      </x:c>
    </x:row>
    <x:row r="47" ht="21.75" customHeight="1">
      <x:c r="A47" s="18" t="s">
        <x:v>133</x:v>
      </x:c>
      <x:c r="B47" s="28" t="n">
        <x:f>B46*(3.3/B21-1)</x:f>
        <x:v>46874.999999999985</x:v>
      </x:c>
      <x:c r="C47" s="18" t="s">
        <x:v>131</x:v>
      </x:c>
      <x:c r="D47" s="31" t="str">
        <x:v>3.3 V target; R24 bootstrap is outside feedback divider</x:v>
      </x:c>
    </x:row>
    <x:row r="48" ht="34" customHeight="1">
      <x:c r="A48" s="18" t="s">
        <x:v>135</x:v>
      </x:c>
      <x:c r="B48" s="28" t="n">
        <x:v>47000</x:v>
      </x:c>
      <x:c r="C48" s="18" t="s">
        <x:v>131</x:v>
      </x:c>
      <x:c r="D48" s="31" t="str">
        <x:v>R26; 0402WGF4702TCE; C25792; upper FB resistor</x:v>
      </x:c>
    </x:row>
    <x:row r="49" ht="21.75" customHeight="1">
      <x:c r="A49" s="18" t="s">
        <x:v>137</x:v>
      </x:c>
      <x:c r="B49" s="19" t="n">
        <x:f>B21*(1+B48/B46)</x:f>
        <x:v>3.3066666666666666</x:v>
      </x:c>
      <x:c r="C49" s="18" t="s">
        <x:v>6</x:v>
      </x:c>
      <x:c r="D49" s="31" t="s">
        <x:v>138</x:v>
      </x:c>
    </x:row>
    <x:row r="50" ht="21.75" customHeight="1">
      <x:c r="A50" s="18" t="s">
        <x:v>139</x:v>
      </x:c>
      <x:c r="B50" s="19" t="n">
        <x:v>60.1</x:v>
      </x:c>
      <x:c r="C50" s="18" t="s">
        <x:v>140</x:v>
      </x:c>
      <x:c r="D50" s="31" t="str">
        <x:v>Six 10 uF plus 100 nF bypass</x:v>
      </x:c>
    </x:row>
    <x:row r="51" ht="34" customHeight="1">
      <x:c r="A51" s="18" t="s">
        <x:v>142</x:v>
      </x:c>
      <x:c r="B51" s="19" t="n">
        <x:v>0.9788443205055549</x:v>
      </x:c>
      <x:c r="C51" s="18"/>
      <x:c r="D51" s="31" t="str">
        <x:v>Samsung typical DC-bias curve at 3.307 V, 25 °C</x:v>
      </x:c>
    </x:row>
    <x:row r="52" ht="34" customHeight="1">
      <x:c r="A52" s="18" t="str">
        <x:v>Output capacitance, typical</x:v>
      </x:c>
      <x:c r="B52" s="19" t="n">
        <x:f>(B50-0.1)*B51+0.1</x:f>
        <x:v>58.830659230333296</x:v>
      </x:c>
      <x:c r="C52" s="18" t="s">
        <x:v>140</x:v>
      </x:c>
      <x:c r="D52" s="31" t="str">
        <x:v>58.83 uF estimate; tolerance/temperature/aging excluded</x:v>
      </x:c>
    </x:row>
    <x:row r="53" ht="21.75" customHeight="1">
      <x:c r="A53" s="18" t="s">
        <x:v>146</x:v>
      </x:c>
      <x:c r="B53" s="19"/>
      <x:c r="C53" s="18" t="s">
        <x:v>131</x:v>
      </x:c>
      <x:c r="D53" s="31" t="str">
        <x:v>Biased ESR unverified; not included in ripple estimate</x:v>
      </x:c>
    </x:row>
    <x:row r="54" ht="21.75" customHeight="1">
      <x:c r="A54" s="18" t="str">
        <x:v>Output capacitive ripple</x:v>
      </x:c>
      <x:c r="B54" s="19" t="n">
        <x:f>B33/(8*B10*B52*1E-6)*1000</x:f>
        <x:v>3.048237234506623</x:v>
      </x:c>
      <x:c r="C54" s="18" t="s">
        <x:v>88</x:v>
      </x:c>
      <x:c r="D54" s="31" t="str">
        <x:v>CCM estimate; excludes ESR/ESL and load transients</x:v>
      </x:c>
    </x:row>
    <x:row r="55" ht="34" customHeight="1">
      <x:c r="A55" s="18" t="s">
        <x:v>150</x:v>
      </x:c>
      <x:c r="B55" s="18" t="str">
        <x:v>CYA1040-6.8UH</x:v>
      </x:c>
      <x:c r="C55" s="18"/>
      <x:c r="D55" s="31" t="str">
        <x:v>SHOUHAN C6364676; 8 A heat / 10 A sat specified</x:v>
      </x:c>
    </x:row>
    <x:row r="56" ht="34" customHeight="1">
      <x:c r="A56" s="18" t="s">
        <x:v>151</x:v>
      </x:c>
      <x:c r="B56" s="18" t="str">
        <x:v>CL32B106KBJNNNE</x:v>
      </x:c>
      <x:c r="C56" s="18"/>
      <x:c r="D56" s="31" t="str">
        <x:v>Existing Samsung 10 uF / 50 V, 1210 X7R</x:v>
      </x:c>
    </x:row>
    <x:row r="57">
      <x:c r="A57" s="18"/>
      <x:c r="B57" s="18"/>
      <x:c r="C57" s="18"/>
      <x:c r="D57" s="31"/>
    </x:row>
    <x:row r="58" ht="21.75" customHeight="1">
      <x:c r="A58" s="23" t="str">
        <x:v>Feedback and Bootstrap Parts</x:v>
      </x:c>
      <x:c r="B58" s="23"/>
      <x:c r="C58" s="23"/>
      <x:c r="D58" s="32"/>
    </x:row>
    <x:row r="59" ht="21.75" customHeight="1">
      <x:c r="A59" s="18" t="s">
        <x:v>66</x:v>
      </x:c>
      <x:c r="B59" s="18" t="s">
        <x:v>39</x:v>
      </x:c>
      <x:c r="C59" s="18" t="s">
        <x:v>26</x:v>
      </x:c>
      <x:c r="D59" s="31" t="s">
        <x:v>67</x:v>
      </x:c>
    </x:row>
    <x:row r="60" ht="34" customHeight="1">
      <x:c r="A60" s="18" t="str">
        <x:v>Bootstrap-series link</x:v>
      </x:c>
      <x:c r="B60" s="20" t="n">
        <x:v>0</x:v>
      </x:c>
      <x:c r="C60" s="18" t="str">
        <x:v>ohm</x:v>
      </x:c>
      <x:c r="D60" s="31" t="str">
        <x:v>R24; 0402WGF0000TCE; C17168; BST.6 → R24 → C50 → SW.5</x:v>
      </x:c>
    </x:row>
    <x:row r="61" ht="21.75" customHeight="1">
      <x:c r="A61" s="18" t="str">
        <x:v>Divider initial tolerance</x:v>
      </x:c>
      <x:c r="B61" s="21" t="n">
        <x:v>0.01</x:v>
      </x:c>
      <x:c r="C61" s="18" t="str"/>
      <x:c r="D61" s="31" t="str">
        <x:v>47k / 15k, independent 1% bounds</x:v>
      </x:c>
    </x:row>
    <x:row r="62" ht="21.75" customHeight="1">
      <x:c r="A62" s="18" t="str">
        <x:v>FB reference full-range error</x:v>
      </x:c>
      <x:c r="B62" s="21" t="n">
        <x:v>0.02</x:v>
      </x:c>
      <x:c r="C62" s="18" t="str"/>
      <x:c r="D62" s="31" t="str">
        <x:v>TI ±2% over −40 to 150 °C junction</x:v>
      </x:c>
    </x:row>
    <x:row r="63" ht="21.75" customHeight="1">
      <x:c r="A63" s="18" t="str">
        <x:v>Nominal output error</x:v>
      </x:c>
      <x:c r="B63" s="21" t="n">
        <x:f>B49/3.3-1</x:f>
        <x:v>0.002020202020202033</x:v>
      </x:c>
      <x:c r="C63" s="18" t="str"/>
      <x:c r="D63" s="31" t="str">
        <x:v>Relative to 3.3 V target</x:v>
      </x:c>
    </x:row>
    <x:row r="64" ht="34" customHeight="1">
      <x:c r="A64" s="18" t="str">
        <x:v>Initial/reference DC minimum</x:v>
      </x:c>
      <x:c r="B64" s="19" t="n">
        <x:f>B21*(1-B62)*(1+B48*(1-B61)/(B46*(1+B61)))</x:f>
        <x:v>3.191889108910891</x:v>
      </x:c>
      <x:c r="C64" s="18" t="str">
        <x:v>V</x:v>
      </x:c>
      <x:c r="D64" s="31" t="str">
        <x:v>Excludes resistor drift, bias, ripple and connector drop</x:v>
      </x:c>
    </x:row>
    <x:row r="65" ht="34" customHeight="1">
      <x:c r="A65" s="18" t="str">
        <x:v>Initial/reference DC maximum</x:v>
      </x:c>
      <x:c r="B65" s="19" t="n">
        <x:f>B21*(1+B62)*(1+B48*(1+B61)/(B46*(1-B61)))</x:f>
        <x:v>3.4244525252525255</x:v>
      </x:c>
      <x:c r="C65" s="18" t="str">
        <x:v>V</x:v>
      </x:c>
      <x:c r="D65" s="31" t="str">
        <x:v>Hot adapter input compliance remains unverified</x:v>
      </x:c>
    </x:row>
    <x:row r="66" ht="21.75" customHeight="1">
      <x:c r="A66" s="18" t="str">
        <x:v>FB bias maximum</x:v>
      </x:c>
      <x:c r="B66" s="19" t="n">
        <x:v>150</x:v>
      </x:c>
      <x:c r="C66" s="18" t="str">
        <x:v>nA</x:v>
      </x:c>
      <x:c r="D66" s="31" t="str">
        <x:v>TI electrical table</x:v>
      </x:c>
    </x:row>
    <x:row r="67" ht="21.75" customHeight="1">
      <x:c r="A67" s="18" t="str">
        <x:v>FB bias voltage sensitivity</x:v>
      </x:c>
      <x:c r="B67" s="19" t="n">
        <x:f>B66*1E-9*B48*1000</x:f>
        <x:v>7.050000000000001</x:v>
      </x:c>
      <x:c r="C67" s="18" t="str">
        <x:v>mV</x:v>
      </x:c>
      <x:c r="D67" s="31" t="str">
        <x:v>Magnitude estimate at nominal upper resistor</x:v>
      </x:c>
    </x:row>
    <x:row r="68" ht="34" customHeight="1">
      <x:c r="A68" s="18" t="str">
        <x:v>Library classification</x:v>
      </x:c>
      <x:c r="B68" s="18" t="str">
        <x:v>Basic cached</x:v>
      </x:c>
      <x:c r="C68" s="18" t="str"/>
      <x:c r="D68" s="31" t="str">
        <x:v>All divider/indicator SKUs marked Basic in installed library</x:v>
      </x:c>
    </x:row>
    <x:row r="69" ht="34" customHeight="1">
      <x:c r="A69" s="18" t="str">
        <x:v>Catalog verification</x:v>
      </x:c>
      <x:c r="B69" s="18" t="str">
        <x:v>Unconfirmed</x:v>
      </x:c>
      <x:c r="C69" s="18" t="str"/>
      <x:c r="D69" s="31" t="str">
        <x:v>Current live JLC Basic classification not verified</x:v>
      </x:c>
    </x:row>
    <x:row r="70" ht="21.75" customHeight="1">
      <x:c r="A70" s="18"/>
      <x:c r="B70" s="18"/>
      <x:c r="C70" s="18"/>
      <x:c r="D70" s="31"/>
    </x:row>
    <x:row r="71" ht="21.75" customHeight="1">
      <x:c r="A71" s="23" t="str">
        <x:v>Inductor and Soft Start</x:v>
      </x:c>
      <x:c r="B71" s="23"/>
      <x:c r="C71" s="23"/>
      <x:c r="D71" s="32"/>
    </x:row>
    <x:row r="72" ht="21.75" customHeight="1">
      <x:c r="A72" s="18" t="s">
        <x:v>66</x:v>
      </x:c>
      <x:c r="B72" s="18" t="s">
        <x:v>39</x:v>
      </x:c>
      <x:c r="C72" s="18" t="s">
        <x:v>26</x:v>
      </x:c>
      <x:c r="D72" s="31" t="s">
        <x:v>67</x:v>
      </x:c>
    </x:row>
    <x:row r="73" ht="21.75" customHeight="1">
      <x:c r="A73" s="18" t="str">
        <x:v>Minimum switching frequency</x:v>
      </x:c>
      <x:c r="B73" s="18" t="n">
        <x:v>450000</x:v>
      </x:c>
      <x:c r="C73" s="18" t="str">
        <x:v>Hz</x:v>
      </x:c>
      <x:c r="D73" s="31" t="str">
        <x:v>TI oscillator range</x:v>
      </x:c>
    </x:row>
    <x:row r="74" ht="21.75" customHeight="1">
      <x:c r="A74" s="18" t="str">
        <x:v>Initial inductance tolerance</x:v>
      </x:c>
      <x:c r="B74" s="21" t="n">
        <x:v>0.2</x:v>
      </x:c>
      <x:c r="C74" s="18" t="str"/>
      <x:c r="D74" s="31" t="str">
        <x:v>Before hot/DC-current loss</x:v>
      </x:c>
    </x:row>
    <x:row r="75" ht="21.75" customHeight="1">
      <x:c r="A75" s="18" t="str">
        <x:v>Initial minimum inductance</x:v>
      </x:c>
      <x:c r="B75" s="18" t="n">
        <x:f>B32*(1-B74)</x:f>
        <x:v>5.44</x:v>
      </x:c>
      <x:c r="C75" s="18" t="str">
        <x:v>uH</x:v>
      </x:c>
      <x:c r="D75" s="31" t="str"/>
    </x:row>
    <x:row r="76" ht="34" customHeight="1">
      <x:c r="A76" s="18" t="str">
        <x:v>Ripple at 12.6 V / fmin / Lmin</x:v>
      </x:c>
      <x:c r="B76" s="19" t="n">
        <x:f>B6*(1-B6/B5)/(B75*1E-6*B73)</x:f>
        <x:v>0.9962766999804036</x:v>
      </x:c>
      <x:c r="C76" s="18" t="str">
        <x:v>A p-p</x:v>
      </x:c>
      <x:c r="D76" s="31" t="str">
        <x:v>Vout nominal; ideal CCM</x:v>
      </x:c>
    </x:row>
    <x:row r="77" ht="21.75" customHeight="1">
      <x:c r="A77" s="18" t="str">
        <x:v>Peak at 1 A allocation</x:v>
      </x:c>
      <x:c r="B77" s="19" t="n">
        <x:f>B9+B76/2</x:f>
        <x:v>1.4981383499902017</x:v>
      </x:c>
      <x:c r="C77" s="18" t="str">
        <x:v>A</x:v>
      </x:c>
      <x:c r="D77" s="31" t="str">
        <x:v>Fault current remains a separate sizing case</x:v>
      </x:c>
    </x:row>
    <x:row r="78" ht="21.75" customHeight="1">
      <x:c r="A78" s="18" t="str">
        <x:v>RMS at 1 A allocation</x:v>
      </x:c>
      <x:c r="B78" s="19" t="n">
        <x:f>SQRT(B9^2+B76^2/12)</x:f>
        <x:v>1.0405354095738342</x:v>
      </x:c>
      <x:c r="C78" s="18" t="str">
        <x:v>A</x:v>
      </x:c>
      <x:c r="D78" s="31" t="str"/>
    </x:row>
    <x:row r="79" ht="34" customHeight="1">
      <x:c r="A79" s="18" t="str">
        <x:v>Capacitive ripple at corner</x:v>
      </x:c>
      <x:c r="B79" s="19" t="n">
        <x:f>B76/(8*B73*B52*1E-6)*1000</x:f>
        <x:v>4.7040698063373805</x:v>
      </x:c>
      <x:c r="C79" s="18" t="str">
        <x:v>mV p-p</x:v>
      </x:c>
      <x:c r="D79" s="31" t="str">
        <x:v>Excludes ESR/ESL and additional capacitor variation</x:v>
      </x:c>
    </x:row>
    <x:row r="80" ht="21.75" customHeight="1">
      <x:c r="A80" s="18" t="str">
        <x:v>Soft-start capacitor</x:v>
      </x:c>
      <x:c r="B80" s="19" t="n">
        <x:v>100</x:v>
      </x:c>
      <x:c r="C80" s="18" t="str">
        <x:v>nF</x:v>
      </x:c>
      <x:c r="D80" s="31" t="str">
        <x:v>Same as RF copy</x:v>
      </x:c>
    </x:row>
    <x:row r="81" ht="21.75" customHeight="1">
      <x:c r="A81" s="18" t="str">
        <x:v>Soft-start charge current</x:v>
      </x:c>
      <x:c r="B81" s="19" t="n">
        <x:v>5.5</x:v>
      </x:c>
      <x:c r="C81" s="18" t="str">
        <x:v>uA</x:v>
      </x:c>
      <x:c r="D81" s="31" t="str">
        <x:v>TI typical</x:v>
      </x:c>
    </x:row>
    <x:row r="82" ht="21.75" customHeight="1">
      <x:c r="A82" s="18" t="str">
        <x:v>Nominal soft-start duration</x:v>
      </x:c>
      <x:c r="B82" s="19" t="n">
        <x:f>B80*1E-9*B21/(B81*1E-6)*1000</x:f>
        <x:v>14.545454545454549</x:v>
      </x:c>
      <x:c r="C82" s="18" t="str">
        <x:v>ms</x:v>
      </x:c>
      <x:c r="D82" s="31" t="str"/>
    </x:row>
    <x:row r="83" ht="34" customHeight="1">
      <x:c r="A83" s="18" t="str">
        <x:v>Local Cout charging estimate</x:v>
      </x:c>
      <x:c r="B83" s="19" t="n">
        <x:f>B52*1E-6*B6/(B82*1E-3)*1000</x:f>
        <x:v>13.3741698650291</x:v>
      </x:c>
      <x:c r="C83" s="18" t="str">
        <x:v>mA</x:v>
      </x:c>
      <x:c r="D83" s="31" t="str">
        <x:v>Unknown adapter capacitance/load is additional</x:v>
      </x:c>
    </x:row>
    <x:row r="84" ht="21.75" customHeight="1">
      <x:c r="A84" s="18"/>
      <x:c r="B84" s="18"/>
      <x:c r="C84" s="18"/>
      <x:c r="D84" s="31"/>
    </x:row>
    <x:row r="85" ht="21.75" customHeight="1">
      <x:c r="A85" s="23" t="str">
        <x:v>Camera Enable and Rail Indicator</x:v>
      </x:c>
      <x:c r="B85" s="23"/>
      <x:c r="C85" s="23"/>
      <x:c r="D85" s="32"/>
    </x:row>
    <x:row r="86" ht="21.75" customHeight="1">
      <x:c r="A86" s="18" t="s">
        <x:v>66</x:v>
      </x:c>
      <x:c r="B86" s="18" t="s">
        <x:v>39</x:v>
      </x:c>
      <x:c r="C86" s="18" t="s">
        <x:v>26</x:v>
      </x:c>
      <x:c r="D86" s="31" t="s">
        <x:v>67</x:v>
      </x:c>
    </x:row>
    <x:row r="87" ht="34" customHeight="1">
      <x:c r="A87" s="18" t="str">
        <x:v>Buck enable</x:v>
      </x:c>
      <x:c r="B87" s="18" t="str">
        <x:v>3V3_CM5</x:v>
      </x:c>
      <x:c r="C87" s="18" t="str"/>
      <x:c r="D87" s="31" t="str">
        <x:v>U8 EN.2 = 3V3_CM5; R17 10 kΩ to GND</x:v>
      </x:c>
    </x:row>
    <x:row r="88" ht="34" customHeight="1">
      <x:c r="A88" s="18" t="str">
        <x:v>Shutdown behavior</x:v>
      </x:c>
      <x:c r="B88" s="18" t="str">
        <x:v>Unverified</x:v>
      </x:c>
      <x:c r="C88" s="18" t="str"/>
      <x:c r="D88" s="31" t="str">
        <x:v>Check adapter I2C backfeed and rail decay on hardware</x:v>
      </x:c>
    </x:row>
    <x:row r="89" ht="34" customHeight="1">
      <x:c r="A89" s="18" t="str">
        <x:v>Parent R27 indicator resistor</x:v>
      </x:c>
      <x:c r="B89" s="29" t="n">
        <x:v>220</x:v>
      </x:c>
      <x:c r="C89" s="18" t="str">
        <x:v>ohm</x:v>
      </x:c>
      <x:c r="D89" s="31" t="str">
        <x:v>Regulators R27; 0402WGF2200TCE; C25091; PCM_JLCPCB:R_0402</x:v>
      </x:c>
    </x:row>
    <x:row r="90" ht="34" customHeight="1">
      <x:c r="A90" s="18" t="str">
        <x:v>LED forward-voltage assumption</x:v>
      </x:c>
      <x:c r="B90" s="29" t="n">
        <x:v>2.8</x:v>
      </x:c>
      <x:c r="C90" s="18" t="str">
        <x:v>V</x:v>
      </x:c>
      <x:c r="D90" s="31" t="str">
        <x:v>KT-0805G; actual Vf at this current unmeasured</x:v>
      </x:c>
    </x:row>
    <x:row r="91" ht="21.75" customHeight="1">
      <x:c r="A91" s="18" t="str">
        <x:v>Estimated indicator current</x:v>
      </x:c>
      <x:c r="B91" s="19" t="n">
        <x:f>(B6-B90)/B89*1000</x:f>
        <x:v>2.3030303030303036</x:v>
      </x:c>
      <x:c r="C91" s="18" t="str">
        <x:v>mA</x:v>
      </x:c>
      <x:c r="D91" s="31" t="str">
        <x:v>R27 source 3V3_CAM; Vf=2.8 V assumed; brightness unmeasured</x:v>
      </x:c>
    </x:row>
    <x:row r="92" ht="21.75" customHeight="1">
      <x:c r="A92" s="18" t="str">
        <x:v>Estimated resistor dissipation</x:v>
      </x:c>
      <x:c r="B92" s="19" t="n">
        <x:f>(B6-B90)^2/B89*1000</x:f>
        <x:v>1.1668686868686877</x:v>
      </x:c>
      <x:c r="C92" s="18" t="str">
        <x:v>mW</x:v>
      </x:c>
      <x:c r="D92" s="31" t="str"/>
    </x:row>
    <x:row r="93" ht="21.75" customHeight="1">
      <x:c r="A93" s="18"/>
      <x:c r="B93" s="18"/>
      <x:c r="C93" s="18"/>
      <x:c r="D93" s="31"/>
    </x:row>
    <x:row r="94" ht="21.75" customHeight="1">
      <x:c r="A94" s="23" t="str">
        <x:v>Sources and Remaining Measurements</x:v>
      </x:c>
      <x:c r="B94" s="23"/>
      <x:c r="C94" s="23"/>
      <x:c r="D94" s="32"/>
    </x:row>
    <x:row r="95" ht="21.75" customHeight="1">
      <x:c r="A95" s="18" t="s">
        <x:v>66</x:v>
      </x:c>
      <x:c r="B95" s="18" t="s">
        <x:v>39</x:v>
      </x:c>
      <x:c r="C95" s="18" t="s">
        <x:v>26</x:v>
      </x:c>
      <x:c r="D95" s="31" t="s">
        <x:v>67</x:v>
      </x:c>
    </x:row>
    <x:row r="96" ht="52" customHeight="1">
      <x:c r="A96" s="18" t="str">
        <x:v>Converter evidence</x:v>
      </x:c>
      <x:c r="B96" s="18" t="str">
        <x:v>TI TPS62933</x:v>
      </x:c>
      <x:c r="C96" s="18" t="str"/>
      <x:c r="D96" s="31" t="str">
        <x:v>https://www.ti.com/lit/ds/symlink/tps62933.pdf</x:v>
      </x:c>
    </x:row>
    <x:row r="97" ht="52" customHeight="1">
      <x:c r="A97" s="18" t="str">
        <x:v>Capacitor evidence</x:v>
      </x:c>
      <x:c r="B97" s="18" t="str">
        <x:v>Samsung DC-bias model</x:v>
      </x:c>
      <x:c r="C97" s="18" t="str"/>
      <x:c r="D97" s="31" t="str">
        <x:v>https://product.samsungsem.com/mlcc/CL32B106KBJNNN.do</x:v>
      </x:c>
    </x:row>
    <x:row r="98" ht="52" customHeight="1">
      <x:c r="A98" s="18" t="str">
        <x:v>CM5 external rail evidence</x:v>
      </x:c>
      <x:c r="B98" s="18" t="str">
        <x:v>600 mA per regulator</x:v>
      </x:c>
      <x:c r="C98" s="18" t="str"/>
      <x:c r="D98" s="31" t="str">
        <x:v>https://datasheets.raspberrypi.com/cm5/cm5-datasheet.pdf</x:v>
      </x:c>
    </x:row>
    <x:row r="99" ht="52" customHeight="1">
      <x:c r="A99" s="18" t="str">
        <x:v>LED evidence</x:v>
      </x:c>
      <x:c r="B99" s="18" t="str">
        <x:v>KENTO KT-0805G</x:v>
      </x:c>
      <x:c r="C99" s="18" t="str"/>
      <x:c r="D99" s="31" t="str">
        <x:v>https://datasheet.lcsc.com/datasheet/pdf/de342fde3322df0797012cd7a04e2194.pdf?productCode=C2297</x:v>
      </x:c>
    </x:row>
    <x:row r="100" ht="34" customHeight="1">
      <x:c r="A100" s="18" t="str">
        <x:v>Feedback parts</x:v>
      </x:c>
      <x:c r="B100" s="18" t="str">
        <x:v>0402: 47k / 15k</x:v>
      </x:c>
      <x:c r="C100" s="18" t="str"/>
      <x:c r="D100" s="31" t="str">
        <x:v>R26 / R18: C25792 / C25756 feedback; R24 C17168 bootstrap</x:v>
      </x:c>
    </x:row>
    <x:row r="101" ht="34" customHeight="1">
      <x:c r="A101" s="18" t="str">
        <x:v>Adapter input voltage</x:v>
      </x:c>
      <x:c r="B101" s="18" t="str">
        <x:v>Confirm actual adapter</x:v>
      </x:c>
      <x:c r="C101" s="18" t="str"/>
      <x:c r="D101" s="31" t="str">
        <x:v>Selected divider is 3.3067 V nominal; input tolerance unconfirmed</x:v>
      </x:c>
    </x:row>
    <x:row r="102" ht="34" customHeight="1">
      <x:c r="A102" s="18" t="str">
        <x:v>Prototype verification</x:v>
      </x:c>
      <x:c r="B102" s="18" t="str">
        <x:v>Pending hardware</x:v>
      </x:c>
      <x:c r="C102" s="18" t="str"/>
      <x:c r="D102" s="31" t="str">
        <x:v>Measure startup/load/rail decay, connector drop and adapter current</x:v>
      </x:c>
    </x:row>
    <x:row r="103" ht="34" customHeight="1">
      <x:c r="A103" s="18" t="str">
        <x:v>Camera reset hold</x:v>
      </x:c>
      <x:c r="B103" s="18" t="str">
        <x:v>&gt;180 ms</x:v>
      </x:c>
      <x:c r="C103" s="18" t="str"/>
      <x:c r="D103" s="31" t="str">
        <x:v>From sensor supply startup; verify installed adapter revision</x:v>
      </x:c>
    </x:row>
    <x:row r="104" ht="34" customHeight="1">
      <x:c r="A104" s="18" t="str">
        <x:v>Capacitor choice</x:v>
      </x:c>
      <x:c r="B104" s="18" t="str">
        <x:v>Retain CL32B106KBJNNNE</x:v>
      </x:c>
      <x:c r="C104" s="18" t="str"/>
      <x:c r="D104" s="31" t="str">
        <x:v>CL32B106KBJZW6E substitution deferred</x:v>
      </x:c>
    </x:row>
    <x:row r="105" ht="34" customHeight="1">
      <x:c r="A105" s="18" t="str">
        <x:v>Camera wiring</x:v>
      </x:c>
      <x:c r="B105" s="18" t="str">
        <x:v>CAM0 and CAM1 buses</x:v>
      </x:c>
      <x:c r="C105" s="18" t="str"/>
      <x:c r="D105" s="31" t="str">
        <x:v>CSI 4 data + clock pairs; I2C_SCL/SDA; CAM0_RST J1.97; CAM1_RST J1.100</x:v>
      </x:c>
    </x:row>
    <x:row r="106" ht="21.75" customHeight="1">
      <x:c r="A106" s="18"/>
      <x:c r="B106" s="18"/>
      <x:c r="C106" s="18"/>
      <x:c r="D106" s="31"/>
    </x:row>
  </x:sheetData>
  <x:mergeCells>
    <x:mergeCell ref="A1:D1"/>
    <x:mergeCell ref="A17:D17"/>
    <x:mergeCell ref="A24:D24"/>
    <x:mergeCell ref="A44:D44"/>
    <x:mergeCell ref="A58:D58"/>
    <x:mergeCell ref="A71:D71"/>
    <x:mergeCell ref="A85:D85"/>
    <x:mergeCell ref="A94:D94"/>
  </x:mergeCells>
  <x:pageMargins left="0.7" right="0.7" top="0.75" bottom="0.75" header="0.3" footer="0.3"/>
</x:worksheet>
</file>