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worksheets/sheet3.xml" ContentType="application/vnd.openxmlformats-officedocument.spreadsheetml.worksheet+xml"/>
  <Override PartName="/xl/comments3.xml" ContentType="application/vnd.openxmlformats-officedocument.spreadsheetml.comments+xml"/>
  <Override PartName="/xl/worksheets/sheet4.xml" ContentType="application/vnd.openxmlformats-officedocument.spreadsheetml.worksheet+xml"/>
  <Override PartName="/xl/comments4.xml" ContentType="application/vnd.openxmlformats-officedocument.spreadsheetml.comments+xml"/>
  <Override PartName="/xl/worksheets/sheet5.xml" ContentType="application/vnd.openxmlformats-officedocument.spreadsheetml.worksheet+xml"/>
  <Override PartName="/xl/comments5.xml" ContentType="application/vnd.openxmlformats-officedocument.spreadsheetml.comments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a2c9656a164a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ower budget" sheetId="1" r:id="Rd197f78ad24e4d37"/>
    <x:sheet xmlns:r="http://schemas.openxmlformats.org/officeDocument/2006/relationships" name="LM61495 Main 5V" sheetId="2" r:id="R0d431532a5cc4315"/>
    <x:sheet xmlns:r="http://schemas.openxmlformats.org/officeDocument/2006/relationships" name="TPS62933F RF 5V" sheetId="3" r:id="Rc9a667a3d3db45b8"/>
    <x:sheet xmlns:r="http://schemas.openxmlformats.org/officeDocument/2006/relationships" name="TLV758 Camera 4V" sheetId="4" r:id="Rde8b782a0a3f4263"/>
    <x:sheet xmlns:r="http://schemas.openxmlformats.org/officeDocument/2006/relationships" name="TLV758 Camera 1V8" sheetId="5" r:id="R60c30f4539ab445c"/>
    <x:sheet xmlns:r="http://schemas.openxmlformats.org/officeDocument/2006/relationships" name="Battery" sheetId="6" r:id="Re70c95fb57bd4f51"/>
  </x:sheets>
</x:workbook>
</file>

<file path=xl/comments1.xml><?xml version="1.0" encoding="utf-8"?>
<x:comments xmlns:x="http://schemas.openxmlformats.org/spreadsheetml/2006/main">
  <x:authors>
    <x:author/>
  </x:authors>
  <x:commentList>
    <x:comment ref="D9" authorId="0">
      <x:text>
        <x:r>
          <x:t>3 A is a planning assumption, not a dual-encode benchmark. CM5 power data excludes external 3.3 V / 1.8 V loads. CM5 datasheet sections 3.3–3.4: https://datasheets.raspberrypi.com/cm5/cm5-datasheet.pdf</x:t>
        </x:r>
      </x:text>
    </x:comment>
    <x:comment ref="D12" authorId="0">
      <x:text>
        <x:r>
          <x:t>Legacy project estimate for two cameras: 129 mA at 4 V and 194 mA at 1.8 V. Not measured startup limits. Recheck FRAMOS FSM:GO-IMX900 sections 5.2–5.4 and measure both rails. https://www.mouser.com/catalog/specsheets/FRAMOS_2-12-2026_FSM.GO-IMX900_Datasheet_v1.2a.pdf</x:t>
        </x:r>
      </x:text>
    </x:comment>
    <x:comment ref="B31" authorId="0">
      <x:text>
        <x:r>
          <x:t>CM5 datasheet, external power and connector pin table: https://datasheets.raspberrypi.com/cm5/cm5-datasheet.pdf</x:t>
        </x:r>
      </x:text>
    </x:comment>
  </x:commentList>
</x:comments>
</file>

<file path=xl/comments2.xml><?xml version="1.0" encoding="utf-8"?>
<x:comments xmlns:x="http://schemas.openxmlformats.org/spreadsheetml/2006/main">
  <x:authors>
    <x:author/>
  </x:authors>
  <x:commentList>
    <x:comment ref="B21" authorId="0">
      <x:text>
        <x:r>
          <x:t>LM61495RPHR datasheet electrical characteristics and output-voltage setting. https://www.ti.com/lit/ds/symlink/lm61495.pdf</x:t>
        </x:r>
      </x:text>
    </x:comment>
    <x:comment ref="B10" authorId="0">
      <x:text>
        <x:r>
          <x:t>Frequency configuration from the LM61495RPHR datasheet. https://www.ti.com/lit/ds/symlink/lm61495.pdf</x:t>
        </x:r>
      </x:text>
    </x:comment>
    <x:comment ref="B31" authorId="0">
      <x:text>
        <x:r>
          <x:t>Ideal buck CCM: L = Vout (1 - Vout/Vin) / (deltaI * fs). TI SLVA477B, inductor selection. Use component tolerances and IC-specific permitted L/C values before selection. https://www.ti.com/lit/an/slva477b/slva477b.pdf</x:t>
        </x:r>
      </x:text>
    </x:comment>
    <x:comment ref="B54" authorId="0">
      <x:text>
        <x:r>
          <x:t>TI SLVA477B equations 12–13: deltaV approximately deltaI [ESR + 1/(8 fs C)]. Nominal CCM estimate, not a transient/stability verification. https://www.ti.com/lit/an/slva477b/slva477b.pdf</x:t>
        </x:r>
      </x:text>
    </x:comment>
  </x:commentList>
</x:comments>
</file>

<file path=xl/comments3.xml><?xml version="1.0" encoding="utf-8"?>
<x:comments xmlns:x="http://schemas.openxmlformats.org/spreadsheetml/2006/main">
  <x:authors>
    <x:author/>
  </x:authors>
  <x:commentList>
    <x:comment ref="B21" authorId="0">
      <x:text>
        <x:r>
          <x:t>TPS62933FDRLR datasheet electrical characteristics and output-voltage setting. https://www.ti.com/lit/ds/symlink/tps62933.pdf</x:t>
        </x:r>
      </x:text>
    </x:comment>
    <x:comment ref="B10" authorId="0">
      <x:text>
        <x:r>
          <x:t>Frequency configuration from the TPS62933FDRLR datasheet. https://www.ti.com/lit/ds/symlink/tps62933.pdf</x:t>
        </x:r>
      </x:text>
    </x:comment>
    <x:comment ref="B31" authorId="0">
      <x:text>
        <x:r>
          <x:t>Ideal buck CCM: L = Vout (1 - Vout/Vin) / (deltaI * fs). TI SLVA477B, inductor selection. Use component tolerances and IC-specific permitted L/C values before selection. https://www.ti.com/lit/an/slva477b/slva477b.pdf</x:t>
        </x:r>
      </x:text>
    </x:comment>
    <x:comment ref="B54" authorId="0">
      <x:text>
        <x:r>
          <x:t>TI SLVA477B equations 12–13: deltaV approximately deltaI [ESR + 1/(8 fs C)]. Nominal CCM estimate, not a transient/stability verification. https://www.ti.com/lit/an/slva477b/slva477b.pdf</x:t>
        </x:r>
      </x:text>
    </x:comment>
  </x:commentList>
</x:comments>
</file>

<file path=xl/comments4.xml><?xml version="1.0" encoding="utf-8"?>
<x:comments xmlns:x="http://schemas.openxmlformats.org/spreadsheetml/2006/main">
  <x:authors>
    <x:author/>
  </x:authors>
  <x:commentList>
    <x:comment ref="B16" authorId="0">
      <x:text>
        <x:r>
          <x:t>TI TLV758P datasheet, sections 5.4–5.5: DRV WSON theta JA 80.3 C/W; VFB 0.55 V nominal. These are datasheet conditions, not a validated enclosure thermal result. https://www.ti.com/lit/ds/symlink/tlv758p.pdf</x:t>
        </x:r>
      </x:text>
    </x:comment>
  </x:commentList>
</x:comments>
</file>

<file path=xl/comments5.xml><?xml version="1.0" encoding="utf-8"?>
<x:comments xmlns:x="http://schemas.openxmlformats.org/spreadsheetml/2006/main">
  <x:authors>
    <x:author/>
  </x:authors>
  <x:commentList>
    <x:comment ref="B16" authorId="0">
      <x:text>
        <x:r>
          <x:t>TI TLV758P datasheet, sections 5.4–5.5: DRV WSON theta JA 80.3 C/W; VFB 0.55 V nominal. These are datasheet conditions, not a validated enclosure thermal result. https://www.ti.com/lit/ds/symlink/tlv758p.pdf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"/>
    <x:numFmt numFmtId="201" formatCode="0.000"/>
    <x:numFmt numFmtId="202" formatCode="0.00"/>
    <x:numFmt numFmtId="203" formatCode="0%"/>
    <x:numFmt numFmtId="204" formatCode="0"/>
    <x:numFmt numFmtId="205" formatCode="0.0%"/>
  </x:numFmts>
  <x:fonts count="3">
    <x:font>
      <x:sz val="11"/>
      <x:name val="Carlito"/>
    </x:font>
    <x:font>
      <x:sz val="11"/>
      <x:color rgb="FF000000"/>
      <x:name val="Arial"/>
    </x:font>
    <x:font>
      <x:b/>
      <x:sz val="11"/>
      <x:color rgb="FF000000"/>
      <x:name val="Arial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2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center"/>
    </x:xf>
    <x:xf numFmtId="201" fontId="2" fillId="0" borderId="0" xfId="0" applyNumberFormat="1" applyFont="1" applyFill="1" applyBorder="1" applyAlignment="1">
      <x:alignment horizontal="center"/>
    </x:xf>
    <x:xf numFmtId="204" fontId="1" fillId="0" borderId="0" xfId="0" applyNumberFormat="1" applyFont="1" applyFill="1" applyBorder="1"/>
    <x:xf numFmtId="205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8118888304440e" /><Relationship Type="http://schemas.openxmlformats.org/officeDocument/2006/relationships/theme" Target="/xl/theme/theme1.xml" Id="Rf0e579c8a5e44e39" /><Relationship Type="http://schemas.openxmlformats.org/officeDocument/2006/relationships/sharedStrings" Target="/xl/sharedStrings.xml" Id="R209452acb15b40ba" /><Relationship Type="http://schemas.openxmlformats.org/officeDocument/2006/relationships/worksheet" Target="/xl/worksheets/sheet1.xml" Id="Rd197f78ad24e4d37" /><Relationship Type="http://schemas.openxmlformats.org/officeDocument/2006/relationships/worksheet" Target="/xl/worksheets/sheet2.xml" Id="R0d431532a5cc4315" /><Relationship Type="http://schemas.openxmlformats.org/officeDocument/2006/relationships/worksheet" Target="/xl/worksheets/sheet3.xml" Id="Rc9a667a3d3db45b8" /><Relationship Type="http://schemas.openxmlformats.org/officeDocument/2006/relationships/worksheet" Target="/xl/worksheets/sheet4.xml" Id="Rde8b782a0a3f4263" /><Relationship Type="http://schemas.openxmlformats.org/officeDocument/2006/relationships/worksheet" Target="/xl/worksheets/sheet5.xml" Id="R60c30f4539ab445c" /><Relationship Type="http://schemas.openxmlformats.org/officeDocument/2006/relationships/worksheet" Target="/xl/worksheets/sheet6.xml" Id="Re70c95fb57bd4f5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4ea68fbdc0e74b53" /><Relationship Type="http://schemas.openxmlformats.org/officeDocument/2006/relationships/vmlDrawing" Target="/xl/drawings/vmldrawing.vml" Id="Rb88f286bf3b54ff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2.xml" Id="R3023de095f194c0f" /><Relationship Type="http://schemas.openxmlformats.org/officeDocument/2006/relationships/vmlDrawing" Target="/xl/drawings/vmldrawing2.vml" Id="Rf4c649af2de247a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3.xml" Id="Re2a7efe3b7ad4c20" /><Relationship Type="http://schemas.openxmlformats.org/officeDocument/2006/relationships/vmlDrawing" Target="/xl/drawings/vmldrawing3.vml" Id="R0d582a5b7d2145c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4.xml" Id="Re29ebf84c11144ca" /><Relationship Type="http://schemas.openxmlformats.org/officeDocument/2006/relationships/vmlDrawing" Target="/xl/drawings/vmldrawing4.vml" Id="R69b16face3c14bc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comments" Target="/xl/comments5.xml" Id="Rfd1a26f55dbb4e95" /><Relationship Type="http://schemas.openxmlformats.org/officeDocument/2006/relationships/vmlDrawing" Target="/xl/drawings/vmldrawing5.vml" Id="Rd8a4056d625840d3" /></Relationships>
</file>

<file path=xl/worksheets/sheet1.xml><?xml version="1.0" encoding="utf-8"?>
<x:worksheet xmlns:x="http://schemas.openxmlformats.org/spreadsheetml/2006/main">
  <x:sheetViews>
    <x:sheetView showGridLines="1" workbookViewId="0">
      <x:pane ySplit="8" topLeftCell="A9" activePane="bottomLeft" state="frozen"/>
    </x:sheetView>
  </x:sheetViews>
  <x:sheetFormatPr defaultRowHeight="15"/>
  <x:cols>
    <x:col min="1" max="1" width="29" hidden="0" customWidth="1"/>
    <x:col min="2" max="2" width="17" hidden="0" customWidth="1"/>
    <x:col min="3" max="3" width="8" hidden="0" customWidth="1"/>
    <x:col min="4" max="4" width="13" hidden="0" customWidth="1"/>
    <x:col min="5" max="5" width="14" hidden="0" customWidth="1"/>
    <x:col min="6" max="6" width="12" hidden="0" customWidth="1"/>
    <x:col min="7" max="7" width="12" hidden="0" customWidth="1"/>
    <x:col min="8" max="8" width="29" hidden="0" customWidth="1"/>
  </x:cols>
  <x:sheetData>
    <x:row r="1" ht="22" customHeight="1">
      <x:c r="A1" s="2" t="str">
        <x:v>PigeonVision power budget</x:v>
      </x:c>
      <x:c r="B1" s="1"/>
      <x:c r="C1" s="1"/>
      <x:c r="D1" s="1"/>
      <x:c r="E1" s="1"/>
      <x:c r="F1" s="1"/>
      <x:c r="G1" s="1"/>
      <x:c r="H1" s="1"/>
    </x:row>
    <x:row r="2" ht="22" customHeight="1">
      <x:c r="A2" s="1"/>
      <x:c r="B2" s="1"/>
      <x:c r="C2" s="1"/>
      <x:c r="D2" s="1"/>
      <x:c r="E2" s="1"/>
      <x:c r="F2" s="1"/>
      <x:c r="G2" s="1"/>
      <x:c r="H2" s="1"/>
    </x:row>
    <x:row r="3" ht="22" customHeight="1">
      <x:c r="A3" s="1" t="str">
        <x:v>Battery draw (W)</x:v>
      </x:c>
      <x:c r="B3" s="3" t="n">
        <x:f>'Battery'!B21</x:f>
        <x:v>30.20333333333333</x:v>
      </x:c>
      <x:c r="C3" s="1"/>
      <x:c r="D3" s="1"/>
      <x:c r="E3" s="1"/>
      <x:c r="F3" s="1"/>
      <x:c r="G3" s="1"/>
      <x:c r="H3" s="1"/>
    </x:row>
    <x:row r="4" ht="22" customHeight="1">
      <x:c r="A4" s="1" t="str">
        <x:v>Runtime (min)</x:v>
      </x:c>
      <x:c r="B4" s="3" t="n">
        <x:f>'Battery'!B24</x:f>
        <x:v>85.81834234631941</x:v>
      </x:c>
      <x:c r="C4" s="1"/>
      <x:c r="D4" s="1"/>
      <x:c r="E4" s="1"/>
      <x:c r="F4" s="1"/>
      <x:c r="G4" s="1"/>
      <x:c r="H4" s="1"/>
    </x:row>
    <x:row r="5" ht="22" customHeight="1">
      <x:c r="A5" s="1" t="str">
        <x:v>Main 5 V design load (A)</x:v>
      </x:c>
      <x:c r="B5" s="3" t="n">
        <x:f>'LM61495 Main 5V'!B8</x:f>
        <x:v>6.778666666666666</x:v>
      </x:c>
      <x:c r="C5" s="1"/>
      <x:c r="D5" s="1"/>
      <x:c r="E5" s="1"/>
      <x:c r="F5" s="1"/>
      <x:c r="G5" s="1"/>
      <x:c r="H5" s="1"/>
    </x:row>
    <x:row r="6" ht="22" customHeight="1">
      <x:c r="A6" s="1"/>
      <x:c r="B6" s="1"/>
      <x:c r="C6" s="1"/>
      <x:c r="D6" s="1"/>
      <x:c r="E6" s="1"/>
      <x:c r="F6" s="1"/>
      <x:c r="G6" s="1"/>
      <x:c r="H6" s="1"/>
    </x:row>
    <x:row r="7" ht="22" customHeight="1">
      <x:c r="A7" s="1"/>
      <x:c r="B7" s="1"/>
      <x:c r="C7" s="1"/>
      <x:c r="D7" s="1"/>
      <x:c r="E7" s="1"/>
      <x:c r="F7" s="1"/>
      <x:c r="G7" s="1"/>
      <x:c r="H7" s="1"/>
    </x:row>
    <x:row r="8" ht="22" customHeight="1">
      <x:c r="A8" s="2" t="str">
        <x:v>Load</x:v>
      </x:c>
      <x:c r="B8" s="2" t="str">
        <x:v>Rail</x:v>
      </x:c>
      <x:c r="C8" s="2" t="str">
        <x:v>V</x:v>
      </x:c>
      <x:c r="D8" s="2" t="str">
        <x:v>Average A</x:v>
      </x:c>
      <x:c r="E8" s="2" t="str">
        <x:v>Allowance A</x:v>
      </x:c>
      <x:c r="F8" s="2" t="str">
        <x:v>Average W</x:v>
      </x:c>
      <x:c r="G8" s="2" t="str">
        <x:v>Allowance W</x:v>
      </x:c>
      <x:c r="H8" s="2" t="str">
        <x:v>Basis</x:v>
      </x:c>
    </x:row>
    <x:row r="9" ht="22" customHeight="1">
      <x:c r="A9" s="1" t="str">
        <x:v>CM5</x:v>
      </x:c>
      <x:c r="B9" s="1" t="str">
        <x:v>Main 5 V</x:v>
      </x:c>
      <x:c r="C9" s="3" t="n">
        <x:f>'LM61495 Main 5V'!B6</x:f>
        <x:v>5</x:v>
      </x:c>
      <x:c r="D9" s="4" t="n">
        <x:v>3</x:v>
      </x:c>
      <x:c r="E9" s="4" t="n">
        <x:v>4</x:v>
      </x:c>
      <x:c r="F9" s="5" t="n">
        <x:f>IF(COUNT(C9:D9)=2,C9*D9,NA())</x:f>
        <x:v>15</x:v>
      </x:c>
      <x:c r="G9" s="5" t="n">
        <x:f>IF(COUNT(C9,E9)=2,C9*E9,NA())</x:f>
        <x:v>20</x:v>
      </x:c>
      <x:c r="H9" s="1" t="str">
        <x:v>Assumed; encode + record</x:v>
      </x:c>
    </x:row>
    <x:row r="10" ht="22" customHeight="1">
      <x:c r="A10" s="1" t="str">
        <x:v>E200</x:v>
      </x:c>
      <x:c r="B10" s="1" t="str">
        <x:v>Main 5 V</x:v>
      </x:c>
      <x:c r="C10" s="3" t="n">
        <x:f>'LM61495 Main 5V'!B6</x:f>
        <x:v>5</x:v>
      </x:c>
      <x:c r="D10" s="4" t="n">
        <x:v>1</x:v>
      </x:c>
      <x:c r="E10" s="4" t="n">
        <x:v>2</x:v>
      </x:c>
      <x:c r="F10" s="5" t="n">
        <x:f>IF(COUNT(C10:D10)=2,C10*D10,NA())</x:f>
        <x:v>5</x:v>
      </x:c>
      <x:c r="G10" s="5" t="n">
        <x:f>IF(COUNT(C10,E10)=2,C10*E10,NA())</x:f>
        <x:v>10</x:v>
      </x:c>
      <x:c r="H10" s="1" t="str">
        <x:v>Assumed; measure TX draw</x:v>
      </x:c>
    </x:row>
    <x:row r="11" ht="22" customHeight="1">
      <x:c r="A11" s="1" t="str">
        <x:v>Fan</x:v>
      </x:c>
      <x:c r="B11" s="1" t="str">
        <x:v>Main 5 V</x:v>
      </x:c>
      <x:c r="C11" s="3" t="n">
        <x:f>'LM61495 Main 5V'!B6</x:f>
        <x:v>5</x:v>
      </x:c>
      <x:c r="D11" s="4" t="n">
        <x:v>0.1</x:v>
      </x:c>
      <x:c r="E11" s="4" t="n">
        <x:v>0.2</x:v>
      </x:c>
      <x:c r="F11" s="5" t="n">
        <x:f>IF(COUNT(C11:D11)=2,C11*D11,NA())</x:f>
        <x:v>0.5</x:v>
      </x:c>
      <x:c r="G11" s="5" t="n">
        <x:f>IF(COUNT(C11,E11)=2,C11*E11,NA())</x:f>
        <x:v>1</x:v>
      </x:c>
      <x:c r="H11" s="1" t="str">
        <x:v>Assumed; part TBD</x:v>
      </x:c>
    </x:row>
    <x:row r="12" ht="22" customHeight="1">
      <x:c r="A12" s="1" t="str">
        <x:v>Cameras, 4 V</x:v>
      </x:c>
      <x:c r="B12" s="1" t="str">
        <x:v>CAM_4V</x:v>
      </x:c>
      <x:c r="C12" s="3" t="n">
        <x:f>'TLV758 Camera 4V'!B4</x:f>
        <x:v>4</x:v>
      </x:c>
      <x:c r="D12" s="4" t="n">
        <x:v>0.129</x:v>
      </x:c>
      <x:c r="E12" s="4" t="n">
        <x:v>0.3</x:v>
      </x:c>
      <x:c r="F12" s="5" t="n">
        <x:f>IF(COUNT(C12:D12)=2,C12*D12,NA())</x:f>
        <x:v>0.516</x:v>
      </x:c>
      <x:c r="G12" s="5" t="n">
        <x:f>IF(COUNT(C12,E12)=2,C12*E12,NA())</x:f>
        <x:v>1.2</x:v>
      </x:c>
      <x:c r="H12" s="1" t="str">
        <x:v>Two cameras, estimate</x:v>
      </x:c>
    </x:row>
    <x:row r="13" ht="22" customHeight="1">
      <x:c r="A13" s="1" t="str">
        <x:v>Cameras, 1.8 V</x:v>
      </x:c>
      <x:c r="B13" s="1" t="str">
        <x:v>CAM_1V8</x:v>
      </x:c>
      <x:c r="C13" s="3" t="n">
        <x:f>'TLV758 Camera 1V8'!B4</x:f>
        <x:v>1.8</x:v>
      </x:c>
      <x:c r="D13" s="4" t="n">
        <x:v>0.194</x:v>
      </x:c>
      <x:c r="E13" s="4" t="n">
        <x:v>0.3</x:v>
      </x:c>
      <x:c r="F13" s="5" t="n">
        <x:f>IF(COUNT(C13:D13)=2,C13*D13,NA())</x:f>
        <x:v>0.3492</x:v>
      </x:c>
      <x:c r="G13" s="5" t="n">
        <x:f>IF(COUNT(C13,E13)=2,C13*E13,NA())</x:f>
        <x:v>0.54</x:v>
      </x:c>
      <x:c r="H13" s="1" t="str">
        <x:v>Two cameras, estimate</x:v>
      </x:c>
    </x:row>
    <x:row r="14" ht="22" customHeight="1">
      <x:c r="A14" s="1" t="str">
        <x:v>Sensors / control</x:v>
      </x:c>
      <x:c r="B14" s="1" t="str">
        <x:v>CM5_3V3</x:v>
      </x:c>
      <x:c r="C14" s="3" t="n">
        <x:f>'Power budget'!B28</x:f>
        <x:v>3.3</x:v>
      </x:c>
      <x:c r="D14" s="4" t="n">
        <x:v>0.04</x:v>
      </x:c>
      <x:c r="E14" s="4" t="n">
        <x:v>0.08</x:v>
      </x:c>
      <x:c r="F14" s="5" t="n">
        <x:f>IF(COUNT(C14:D14)=2,C14*D14,NA())</x:f>
        <x:v>0.132</x:v>
      </x:c>
      <x:c r="G14" s="5" t="n">
        <x:f>IF(COUNT(C14,E14)=2,C14*E14,NA())</x:f>
        <x:v>0.264</x:v>
      </x:c>
      <x:c r="H14" s="1" t="str">
        <x:v>Assumed; includes LEDs</x:v>
      </x:c>
    </x:row>
    <x:row r="15" ht="22" customHeight="1">
      <x:c r="A15" s="1" t="str">
        <x:v>PA + driver</x:v>
      </x:c>
      <x:c r="B15" s="1" t="str">
        <x:v>RF 5 V</x:v>
      </x:c>
      <x:c r="C15" s="3" t="n">
        <x:f>'TPS62933F RF 5V'!B6</x:f>
        <x:v>5</x:v>
      </x:c>
      <x:c r="D15" s="4" t="n">
        <x:v>1</x:v>
      </x:c>
      <x:c r="E15" s="4" t="n">
        <x:v>1.5</x:v>
      </x:c>
      <x:c r="F15" s="5" t="n">
        <x:f>IF(COUNT(C15:D15)=2,C15*D15,NA())</x:f>
        <x:v>5</x:v>
      </x:c>
      <x:c r="G15" s="5" t="n">
        <x:f>IF(COUNT(C15,E15)=2,C15*E15,NA())</x:f>
        <x:v>7.5</x:v>
      </x:c>
      <x:c r="H15" s="1" t="str">
        <x:v>Assumed DC input, not RF</x:v>
      </x:c>
    </x:row>
    <x:row r="16" ht="22" customHeight="1">
      <x:c r="A16" s="1"/>
      <x:c r="B16" s="1"/>
      <x:c r="C16" s="1"/>
      <x:c r="D16" s="1"/>
      <x:c r="E16" s="1"/>
      <x:c r="F16" s="5"/>
      <x:c r="G16" s="5"/>
      <x:c r="H16" s="1"/>
    </x:row>
    <x:row r="17" ht="22" customHeight="1">
      <x:c r="A17" s="2" t="str">
        <x:v>Load power</x:v>
      </x:c>
      <x:c r="B17" s="2"/>
      <x:c r="C17" s="2"/>
      <x:c r="D17" s="2"/>
      <x:c r="E17" s="2"/>
      <x:c r="F17" s="7" t="n">
        <x:f>SUM(F9:F15)</x:f>
        <x:v>26.4972</x:v>
      </x:c>
      <x:c r="G17" s="7" t="n">
        <x:f>SUM(G9:G15)</x:f>
        <x:v>40.504000000000005</x:v>
      </x:c>
      <x:c r="H17" s="2"/>
    </x:row>
    <x:row r="18" ht="22" customHeight="1">
      <x:c r="A18" s="1"/>
      <x:c r="B18" s="1"/>
      <x:c r="C18" s="1"/>
      <x:c r="D18" s="1"/>
      <x:c r="E18" s="1"/>
      <x:c r="F18" s="1"/>
      <x:c r="G18" s="1"/>
      <x:c r="H18" s="1"/>
    </x:row>
    <x:row r="19" ht="22" customHeight="1">
      <x:c r="A19" s="1"/>
      <x:c r="B19" s="1"/>
      <x:c r="C19" s="1"/>
      <x:c r="D19" s="1"/>
      <x:c r="E19" s="1"/>
      <x:c r="F19" s="1"/>
      <x:c r="G19" s="1"/>
      <x:c r="H19" s="1"/>
    </x:row>
    <x:row r="20" ht="22" customHeight="1">
      <x:c r="A20" s="1"/>
      <x:c r="B20" s="1"/>
      <x:c r="C20" s="1"/>
      <x:c r="D20" s="1"/>
      <x:c r="E20" s="1"/>
      <x:c r="F20" s="1"/>
      <x:c r="G20" s="1"/>
      <x:c r="H20" s="1"/>
    </x:row>
    <x:row r="21" ht="22" customHeight="1">
      <x:c r="A21" s="1"/>
      <x:c r="B21" s="1"/>
      <x:c r="C21" s="1"/>
      <x:c r="D21" s="1"/>
      <x:c r="E21" s="1"/>
      <x:c r="F21" s="1"/>
      <x:c r="G21" s="1"/>
      <x:c r="H21" s="1"/>
    </x:row>
    <x:row r="22" ht="22" customHeight="1">
      <x:c r="A22" s="1"/>
      <x:c r="B22" s="1"/>
      <x:c r="C22" s="1"/>
      <x:c r="D22" s="1"/>
      <x:c r="E22" s="1"/>
      <x:c r="F22" s="1"/>
      <x:c r="G22" s="1"/>
      <x:c r="H22" s="1"/>
    </x:row>
    <x:row r="23" ht="22" customHeight="1">
      <x:c r="A23" s="1"/>
      <x:c r="B23" s="1"/>
      <x:c r="C23" s="1"/>
      <x:c r="D23" s="1"/>
      <x:c r="E23" s="1"/>
      <x:c r="F23" s="1"/>
      <x:c r="G23" s="1"/>
      <x:c r="H23" s="1"/>
    </x:row>
    <x:row r="24" ht="22" customHeight="1">
      <x:c r="A24" s="1"/>
      <x:c r="B24" s="1"/>
      <x:c r="C24" s="1"/>
      <x:c r="D24" s="1"/>
      <x:c r="E24" s="1"/>
      <x:c r="F24" s="1"/>
      <x:c r="G24" s="1"/>
      <x:c r="H24" s="1"/>
    </x:row>
    <x:row r="25" ht="22" customHeight="1">
      <x:c r="A25" s="1"/>
      <x:c r="B25" s="1"/>
      <x:c r="C25" s="1"/>
      <x:c r="D25" s="1"/>
      <x:c r="E25" s="1"/>
      <x:c r="F25" s="1"/>
      <x:c r="G25" s="1"/>
      <x:c r="H25" s="1"/>
    </x:row>
    <x:row r="26" ht="22" customHeight="1">
      <x:c r="A26" s="1"/>
      <x:c r="B26" s="1"/>
      <x:c r="C26" s="1"/>
      <x:c r="D26" s="1"/>
      <x:c r="E26" s="1"/>
      <x:c r="F26" s="1"/>
      <x:c r="G26" s="1"/>
      <x:c r="H26" s="1"/>
    </x:row>
    <x:row r="27" ht="22" customHeight="1">
      <x:c r="A27" s="2" t="str">
        <x:v>CM5 external 3.3 V</x:v>
      </x:c>
      <x:c r="B27" s="2" t="str">
        <x:v>Average</x:v>
      </x:c>
      <x:c r="C27" s="2" t="str">
        <x:v>Design</x:v>
      </x:c>
      <x:c r="D27" s="2" t="str">
        <x:v>Unit</x:v>
      </x:c>
      <x:c r="E27" s="2"/>
      <x:c r="F27" s="2"/>
      <x:c r="G27" s="2"/>
      <x:c r="H27" s="2"/>
    </x:row>
    <x:row r="28" ht="22" customHeight="1">
      <x:c r="A28" s="1" t="str">
        <x:v>Output voltage</x:v>
      </x:c>
      <x:c r="B28" s="4" t="n">
        <x:v>3.3</x:v>
      </x:c>
      <x:c r="C28" s="4" t="n">
        <x:f>B28</x:f>
        <x:v>3.3</x:v>
      </x:c>
      <x:c r="D28" s="1" t="str">
        <x:v>V</x:v>
      </x:c>
      <x:c r="E28" s="1"/>
      <x:c r="F28" s="1"/>
      <x:c r="G28" s="1"/>
      <x:c r="H28" s="1"/>
    </x:row>
    <x:row r="29" ht="22" customHeight="1">
      <x:c r="A29" s="1" t="str">
        <x:v>PMIC efficiency</x:v>
      </x:c>
      <x:c r="B29" s="6" t="n">
        <x:v>0.9</x:v>
      </x:c>
      <x:c r="C29" s="6" t="n">
        <x:f>B29</x:f>
        <x:v>0.9</x:v>
      </x:c>
      <x:c r="D29" s="1" t="str"/>
      <x:c r="E29" s="1"/>
      <x:c r="F29" s="1"/>
      <x:c r="G29" s="1"/>
      <x:c r="H29" s="1"/>
    </x:row>
    <x:row r="30" ht="22" customHeight="1">
      <x:c r="A30" s="1" t="str">
        <x:v>External current</x:v>
      </x:c>
      <x:c r="B30" s="4" t="n">
        <x:f>'TLV758 Camera 1V8'!B5+F14/B28</x:f>
        <x:v>0.234</x:v>
      </x:c>
      <x:c r="C30" s="4" t="n">
        <x:f>'TLV758 Camera 1V8'!B6+G14/C28</x:f>
        <x:v>0.38</x:v>
      </x:c>
      <x:c r="D30" s="1" t="str">
        <x:v>A</x:v>
      </x:c>
      <x:c r="E30" s="1"/>
      <x:c r="F30" s="1"/>
      <x:c r="G30" s="1"/>
      <x:c r="H30" s="1"/>
    </x:row>
    <x:row r="31" ht="22" customHeight="1">
      <x:c r="A31" s="1" t="str">
        <x:v>External current limit</x:v>
      </x:c>
      <x:c r="B31" s="4" t="n">
        <x:v>0.6</x:v>
      </x:c>
      <x:c r="C31" s="4" t="n">
        <x:f>B31</x:f>
        <x:v>0.6</x:v>
      </x:c>
      <x:c r="D31" s="1" t="str">
        <x:v>A</x:v>
      </x:c>
      <x:c r="E31" s="1"/>
      <x:c r="F31" s="1"/>
      <x:c r="G31" s="1"/>
      <x:c r="H31" s="1"/>
    </x:row>
    <x:row r="32" ht="22" customHeight="1">
      <x:c r="A32" s="1" t="str">
        <x:v>Remaining current</x:v>
      </x:c>
      <x:c r="B32" s="4" t="n">
        <x:f>B31-B30</x:f>
        <x:v>0.366</x:v>
      </x:c>
      <x:c r="C32" s="4" t="n">
        <x:f>C31-C30</x:f>
        <x:v>0.21999999999999997</x:v>
      </x:c>
      <x:c r="D32" s="1" t="str">
        <x:v>A</x:v>
      </x:c>
      <x:c r="E32" s="1"/>
      <x:c r="F32" s="1"/>
      <x:c r="G32" s="1"/>
      <x:c r="H32" s="1"/>
    </x:row>
    <x:row r="33" ht="22" customHeight="1">
      <x:c r="A33" s="1" t="str">
        <x:v>External output power</x:v>
      </x:c>
      <x:c r="B33" s="4" t="n">
        <x:f>B28*B30</x:f>
        <x:v>0.7722</x:v>
      </x:c>
      <x:c r="C33" s="4" t="n">
        <x:f>C28*C30</x:f>
        <x:v>1.254</x:v>
      </x:c>
      <x:c r="D33" s="1" t="str">
        <x:v>W</x:v>
      </x:c>
      <x:c r="E33" s="1"/>
      <x:c r="F33" s="1"/>
      <x:c r="G33" s="1"/>
      <x:c r="H33" s="1"/>
    </x:row>
    <x:row r="34" ht="22" customHeight="1">
      <x:c r="A34" s="1" t="str">
        <x:v>Power from main 5 V</x:v>
      </x:c>
      <x:c r="B34" s="4" t="n">
        <x:f>IF(AND(ISNUMBER(B29),B29&gt;0,B29&lt;=1),B33/B29,NA())</x:f>
        <x:v>0.858</x:v>
      </x:c>
      <x:c r="C34" s="4" t="n">
        <x:f>IF(AND(ISNUMBER(C29),C29&gt;0,C29&lt;=1),C33/C29,NA())</x:f>
        <x:v>1.3933333333333333</x:v>
      </x:c>
      <x:c r="D34" s="1" t="str">
        <x:v>W</x:v>
      </x:c>
      <x:c r="E34" s="1"/>
      <x:c r="F34" s="1"/>
      <x:c r="G34" s="1"/>
      <x:c r="H34" s="1"/>
    </x:row>
    <x:row r="35" ht="22" customHeight="1">
      <x:c r="A35" s="1" t="str">
        <x:v>External conversion loss</x:v>
      </x:c>
      <x:c r="B35" s="4" t="n">
        <x:f>B34-B33</x:f>
        <x:v>0.08579999999999999</x:v>
      </x:c>
      <x:c r="C35" s="4" t="n">
        <x:f>C34-C33</x:f>
        <x:v>0.1393333333333333</x:v>
      </x:c>
      <x:c r="D35" s="1" t="str">
        <x:v>W</x:v>
      </x:c>
      <x:c r="E35" s="1"/>
      <x:c r="F35" s="1"/>
      <x:c r="G35" s="1"/>
      <x:c r="H35" s="1"/>
    </x:row>
    <x:row r="36" ht="22" customHeight="1">
      <x:c r="A36" s="1"/>
      <x:c r="B36" s="1"/>
      <x:c r="C36" s="1"/>
      <x:c r="D36" s="1"/>
      <x:c r="E36" s="1"/>
      <x:c r="F36" s="1"/>
      <x:c r="G36" s="1"/>
      <x:c r="H36" s="1"/>
    </x:row>
    <x:row r="37" ht="22" customHeight="1">
      <x:c r="A37" s="1"/>
      <x:c r="B37" s="1"/>
      <x:c r="C37" s="1"/>
      <x:c r="D37" s="1"/>
      <x:c r="E37" s="1"/>
      <x:c r="F37" s="1"/>
      <x:c r="G37" s="1"/>
      <x:c r="H37" s="1"/>
    </x:row>
    <x:row r="38" ht="22" customHeight="1">
      <x:c r="A38" s="1"/>
      <x:c r="B38" s="1"/>
      <x:c r="C38" s="1"/>
      <x:c r="D38" s="1"/>
      <x:c r="E38" s="1"/>
      <x:c r="F38" s="1"/>
      <x:c r="G38" s="1"/>
      <x:c r="H38" s="1"/>
    </x:row>
    <x:row r="39" ht="22" customHeight="1">
      <x:c r="A39" s="1"/>
      <x:c r="B39" s="1"/>
      <x:c r="C39" s="1"/>
      <x:c r="D39" s="1"/>
      <x:c r="E39" s="1"/>
      <x:c r="F39" s="1"/>
      <x:c r="G39" s="1"/>
      <x:c r="H39" s="1"/>
    </x:row>
    <x:row r="40" ht="22" customHeight="1">
      <x:c r="A40" s="1"/>
      <x:c r="B40" s="1"/>
      <x:c r="C40" s="1"/>
      <x:c r="D40" s="1"/>
      <x:c r="E40" s="1"/>
      <x:c r="F40" s="1"/>
      <x:c r="G40" s="1"/>
      <x:c r="H40" s="1"/>
    </x:row>
    <x:row r="41" ht="22" customHeight="1">
      <x:c r="A41" s="1"/>
      <x:c r="B41" s="1"/>
      <x:c r="C41" s="1"/>
      <x:c r="D41" s="1"/>
      <x:c r="E41" s="1"/>
      <x:c r="F41" s="1"/>
      <x:c r="G41" s="1"/>
      <x:c r="H41" s="1"/>
    </x:row>
  </x:sheetData>
  <x:pageMargins left="0.7" right="0.7" top="0.75" bottom="0.75" header="0.3" footer="0.3"/>
  <x:legacyDrawing xmlns:r="http://schemas.openxmlformats.org/officeDocument/2006/relationships" r:id="Rb88f286bf3b54ffd"/>
</x:worksheet>
</file>

<file path=xl/worksheets/sheet2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33" hidden="0" customWidth="1"/>
    <x:col min="2" max="2" width="18" hidden="0" customWidth="1"/>
    <x:col min="3" max="3" width="10" hidden="0" customWidth="1"/>
    <x:col min="4" max="4" width="63" hidden="0" customWidth="1"/>
  </x:cols>
  <x:sheetData>
    <x:row r="1" ht="22" customHeight="1">
      <x:c r="A1" s="8" t="str">
        <x:v>LM61495RPHR Main 5 V</x:v>
      </x:c>
      <x:c r="B1" s="8"/>
      <x:c r="C1" s="8"/>
      <x:c r="D1" s="8"/>
    </x:row>
    <x:row r="2" ht="22" customHeight="1">
      <x:c r="A2" s="1" t="str">
        <x:v>Parameter</x:v>
      </x:c>
      <x:c r="B2" s="1" t="str">
        <x:v>Value</x:v>
      </x:c>
      <x:c r="C2" s="1" t="str">
        <x:v>Unit</x:v>
      </x:c>
      <x:c r="D2" s="1" t="str">
        <x:v>Note</x:v>
      </x:c>
    </x:row>
    <x:row r="3" ht="22" customHeight="1">
      <x:c r="A3" s="1" t="str">
        <x:v>Input voltage minimum</x:v>
      </x:c>
      <x:c r="B3" s="4" t="n">
        <x:f>'Battery'!B8</x:f>
        <x:v>9</x:v>
      </x:c>
      <x:c r="C3" s="1" t="str">
        <x:v>V</x:v>
      </x:c>
      <x:c r="D3" s="1" t="str">
        <x:v>Calculation point, not cutoff</x:v>
      </x:c>
    </x:row>
    <x:row r="4" ht="22" customHeight="1">
      <x:c r="A4" s="1" t="str">
        <x:v>Input voltage nominal</x:v>
      </x:c>
      <x:c r="B4" s="4" t="n">
        <x:f>'Battery'!B15</x:f>
        <x:v>10.8</x:v>
      </x:c>
      <x:c r="C4" s="1" t="str">
        <x:v>V</x:v>
      </x:c>
      <x:c r="D4" s="1" t="str">
        <x:v>3S</x:v>
      </x:c>
    </x:row>
    <x:row r="5" ht="22" customHeight="1">
      <x:c r="A5" s="1" t="str">
        <x:v>Input voltage maximum</x:v>
      </x:c>
      <x:c r="B5" s="4" t="n">
        <x:f>'Battery'!B16</x:f>
        <x:v>12.600000000000001</x:v>
      </x:c>
      <x:c r="C5" s="1" t="str">
        <x:v>V</x:v>
      </x:c>
      <x:c r="D5" s="1" t="str">
        <x:v>Battery only; transients separate</x:v>
      </x:c>
    </x:row>
    <x:row r="6" ht="22" customHeight="1">
      <x:c r="A6" s="1" t="str">
        <x:v>Output voltage</x:v>
      </x:c>
      <x:c r="B6" s="4" t="n">
        <x:v>5</x:v>
      </x:c>
      <x:c r="C6" s="1" t="str">
        <x:v>V</x:v>
      </x:c>
      <x:c r="D6" s="1" t="str">
        <x:v>Target</x:v>
      </x:c>
    </x:row>
    <x:row r="7" ht="22" customHeight="1">
      <x:c r="A7" s="1" t="str">
        <x:v>Average output current</x:v>
      </x:c>
      <x:c r="B7" s="4" t="n">
        <x:f>(SUM('Power budget'!F9:F11)+'TLV758 Camera 4V'!B28+'Power budget'!B34)/B6</x:f>
        <x:v>4.4006</x:v>
      </x:c>
      <x:c r="C7" s="1" t="str">
        <x:v>A</x:v>
      </x:c>
      <x:c r="D7" s="1" t="str">
        <x:v>Power budget estimate</x:v>
      </x:c>
    </x:row>
    <x:row r="8" ht="22" customHeight="1">
      <x:c r="A8" s="1" t="str">
        <x:v>Design load current</x:v>
      </x:c>
      <x:c r="B8" s="4" t="n">
        <x:f>(SUM('Power budget'!G9:G11)+'TLV758 Camera 4V'!B29+'Power budget'!C34)/B6</x:f>
        <x:v>6.778666666666666</x:v>
      </x:c>
      <x:c r="C8" s="1" t="str">
        <x:v>A</x:v>
      </x:c>
      <x:c r="D8" s="1" t="str">
        <x:v>Power budget allowances</x:v>
      </x:c>
    </x:row>
    <x:row r="9" ht="22" customHeight="1">
      <x:c r="A9" s="1" t="str">
        <x:v>Converter design current</x:v>
      </x:c>
      <x:c r="B9" s="4" t="n">
        <x:v>7</x:v>
      </x:c>
      <x:c r="C9" s="1" t="str">
        <x:v>A</x:v>
      </x:c>
      <x:c r="D9" s="1" t="str">
        <x:v>Size the circuit for this allocation</x:v>
      </x:c>
    </x:row>
    <x:row r="10" ht="22" customHeight="1">
      <x:c r="A10" s="1" t="str">
        <x:v>Switching frequency</x:v>
      </x:c>
      <x:c r="B10" s="10" t="n">
        <x:v>400000</x:v>
      </x:c>
      <x:c r="C10" s="1" t="str">
        <x:v>Hz</x:v>
      </x:c>
      <x:c r="D10" s="1" t="str">
        <x:v>Initial 400 kHz; RT to VCC</x:v>
      </x:c>
    </x:row>
    <x:row r="11" ht="22" customHeight="1">
      <x:c r="A11" s="1" t="str">
        <x:v>Inductor ripple fraction</x:v>
      </x:c>
      <x:c r="B11" s="11" t="n">
        <x:v>0.3</x:v>
      </x:c>
      <x:c r="C11" s="1" t="str"/>
      <x:c r="D11" s="1" t="str">
        <x:v>Fraction of IC rated current</x:v>
      </x:c>
    </x:row>
    <x:row r="12" ht="22" customHeight="1">
      <x:c r="A12" s="1" t="str">
        <x:v>Efficiency</x:v>
      </x:c>
      <x:c r="B12" s="11" t="n">
        <x:v>0.9</x:v>
      </x:c>
      <x:c r="C12" s="1" t="str"/>
      <x:c r="D12" s="1" t="str">
        <x:v>Assumed at average and design load</x:v>
      </x:c>
    </x:row>
    <x:row r="13" ht="22" customHeight="1">
      <x:c r="A13" s="1" t="str">
        <x:v>Output ripple target</x:v>
      </x:c>
      <x:c r="B13" s="10" t="n">
        <x:v>50</x:v>
      </x:c>
      <x:c r="C13" s="1" t="str">
        <x:v>mV p-p</x:v>
      </x:c>
      <x:c r="D13" s="1" t="str">
        <x:v>Proposed; at converter design current</x:v>
      </x:c>
    </x:row>
    <x:row r="14" ht="22" customHeight="1">
      <x:c r="A14" s="1" t="str">
        <x:v>Ripple measurement bandwidth</x:v>
      </x:c>
      <x:c r="B14" s="10" t="n">
        <x:v>20</x:v>
      </x:c>
      <x:c r="C14" s="1" t="str">
        <x:v>MHz</x:v>
      </x:c>
      <x:c r="D14" s="1" t="str">
        <x:v>Short ground spring at output capacitors</x:v>
      </x:c>
    </x:row>
    <x:row r="15" ht="22" customHeight="1">
      <x:c r="A15" s="1"/>
      <x:c r="B15" s="4"/>
      <x:c r="C15" s="1"/>
      <x:c r="D15" s="1"/>
    </x:row>
    <x:row r="16" ht="22" customHeight="1">
      <x:c r="A16" s="1"/>
      <x:c r="B16" s="4"/>
      <x:c r="C16" s="1"/>
      <x:c r="D16" s="1"/>
    </x:row>
    <x:row r="17" ht="22" customHeight="1">
      <x:c r="A17" s="8" t="str">
        <x:v>Electrical Parameters</x:v>
      </x:c>
      <x:c r="B17" s="9"/>
      <x:c r="C17" s="8"/>
      <x:c r="D17" s="8"/>
    </x:row>
    <x:row r="18" ht="22" customHeight="1">
      <x:c r="A18" s="1" t="str">
        <x:v>Parameter</x:v>
      </x:c>
      <x:c r="B18" s="4" t="str">
        <x:v>Value</x:v>
      </x:c>
      <x:c r="C18" s="1" t="str">
        <x:v>Unit</x:v>
      </x:c>
      <x:c r="D18" s="1" t="str">
        <x:v>Note</x:v>
      </x:c>
    </x:row>
    <x:row r="19" ht="22" customHeight="1">
      <x:c r="A19" s="1" t="str">
        <x:v>IC output current rating</x:v>
      </x:c>
      <x:c r="B19" s="4" t="n">
        <x:v>10</x:v>
      </x:c>
      <x:c r="C19" s="1" t="str">
        <x:v>A</x:v>
      </x:c>
      <x:c r="D19" s="1" t="str">
        <x:v>Continuous capability still needs thermal sizing</x:v>
      </x:c>
    </x:row>
    <x:row r="20" ht="22" customHeight="1">
      <x:c r="A20" s="1" t="str">
        <x:v>Guide current factor</x:v>
      </x:c>
      <x:c r="B20" s="11" t="n">
        <x:v>0.7</x:v>
      </x:c>
      <x:c r="C20" s="1" t="str"/>
      <x:c r="D20" s="1" t="str">
        <x:v>SD-100001 current derating rule</x:v>
      </x:c>
    </x:row>
    <x:row r="21" ht="22" customHeight="1">
      <x:c r="A21" s="1" t="str">
        <x:v>Feedback reference</x:v>
      </x:c>
      <x:c r="B21" s="4" t="n">
        <x:v>1</x:v>
      </x:c>
      <x:c r="C21" s="1" t="str">
        <x:v>V</x:v>
      </x:c>
      <x:c r="D21" s="1" t="str">
        <x:v>Nominal; datasheet</x:v>
      </x:c>
    </x:row>
    <x:row r="22" ht="22" customHeight="1">
      <x:c r="A22" s="1" t="str">
        <x:v>High-side current limit, max</x:v>
      </x:c>
      <x:c r="B22" s="3" t="n">
        <x:v>20</x:v>
      </x:c>
      <x:c r="C22" s="1" t="str">
        <x:v>A</x:v>
      </x:c>
      <x:c r="D22" s="1" t="str">
        <x:v>Inductor fault sizing; not output rating</x:v>
      </x:c>
    </x:row>
    <x:row r="23" ht="22" customHeight="1">
      <x:c r="A23" s="1"/>
      <x:c r="B23" s="4"/>
      <x:c r="C23" s="1"/>
      <x:c r="D23" s="1"/>
    </x:row>
    <x:row r="24" ht="22" customHeight="1">
      <x:c r="A24" s="8" t="str">
        <x:v>Design Calculations</x:v>
      </x:c>
      <x:c r="B24" s="9"/>
      <x:c r="C24" s="8"/>
      <x:c r="D24" s="8"/>
    </x:row>
    <x:row r="25" ht="22" customHeight="1">
      <x:c r="A25" s="1" t="str">
        <x:v>Parameter</x:v>
      </x:c>
      <x:c r="B25" s="4" t="str">
        <x:v>Value</x:v>
      </x:c>
      <x:c r="C25" s="1" t="str">
        <x:v>Unit</x:v>
      </x:c>
      <x:c r="D25" s="1" t="str">
        <x:v>Note</x:v>
      </x:c>
    </x:row>
    <x:row r="26" ht="22" customHeight="1">
      <x:c r="A26" s="1" t="str">
        <x:v>Guide current ceiling</x:v>
      </x:c>
      <x:c r="B26" s="4" t="n">
        <x:f>B19*B20</x:f>
        <x:v>7</x:v>
      </x:c>
      <x:c r="C26" s="1" t="str">
        <x:v>A</x:v>
      </x:c>
      <x:c r="D26" s="1" t="str"/>
    </x:row>
    <x:row r="27" ht="22" customHeight="1">
      <x:c r="A27" s="1" t="str">
        <x:v>Unused circuit allocation</x:v>
      </x:c>
      <x:c r="B27" s="4" t="n">
        <x:f>B9-B8</x:f>
        <x:v>0.22133333333333383</x:v>
      </x:c>
      <x:c r="C27" s="1" t="str">
        <x:v>A</x:v>
      </x:c>
      <x:c r="D27" s="1" t="str">
        <x:v>Allocation minus budget load</x:v>
      </x:c>
    </x:row>
    <x:row r="28" ht="22" customHeight="1">
      <x:c r="A28" s="1" t="str">
        <x:v>Duty cycle, high Vin</x:v>
      </x:c>
      <x:c r="B28" s="11" t="n">
        <x:f>B6/B5</x:f>
        <x:v>0.3968253968253968</x:v>
      </x:c>
      <x:c r="C28" s="1" t="str"/>
      <x:c r="D28" s="1" t="str">
        <x:v>Ideal CCM</x:v>
      </x:c>
    </x:row>
    <x:row r="29" ht="22" customHeight="1">
      <x:c r="A29" s="1" t="str">
        <x:v>Duty cycle, low Vin</x:v>
      </x:c>
      <x:c r="B29" s="11" t="n">
        <x:f>B6/B3</x:f>
        <x:v>0.5555555555555556</x:v>
      </x:c>
      <x:c r="C29" s="1" t="str"/>
      <x:c r="D29" s="1" t="str">
        <x:v>Ideal CCM</x:v>
      </x:c>
    </x:row>
    <x:row r="30" ht="22" customHeight="1">
      <x:c r="A30" s="1" t="str">
        <x:v>Target inductor ripple</x:v>
      </x:c>
      <x:c r="B30" s="4" t="n">
        <x:f>B19*B11</x:f>
        <x:v>3</x:v>
      </x:c>
      <x:c r="C30" s="1" t="str">
        <x:v>A p-p</x:v>
      </x:c>
      <x:c r="D30" s="1" t="str">
        <x:v>TI uses IC rated current</x:v>
      </x:c>
    </x:row>
    <x:row r="31" ht="22" customHeight="1">
      <x:c r="A31" s="1" t="str">
        <x:v>Inductor, calculated</x:v>
      </x:c>
      <x:c r="B31" s="4" t="n">
        <x:f>B6*(1-B6/B5)/(B30*B10)*1E6</x:f>
        <x:v>2.5132275132275135</x:v>
      </x:c>
      <x:c r="C31" s="1" t="str">
        <x:v>uH</x:v>
      </x:c>
      <x:c r="D31" s="1" t="str">
        <x:v>Ideal CCM; TI section 9.2.2.3</x:v>
      </x:c>
    </x:row>
    <x:row r="32" ht="22" customHeight="1">
      <x:c r="A32" s="1" t="str">
        <x:v>Inductor, chosen</x:v>
      </x:c>
      <x:c r="B32" s="4"/>
      <x:c r="C32" s="1" t="str">
        <x:v>uH</x:v>
      </x:c>
      <x:c r="D32" s="1" t="str">
        <x:v>TBD; check IC range, tolerance and DC bias</x:v>
      </x:c>
    </x:row>
    <x:row r="33" ht="22" customHeight="1">
      <x:c r="A33" s="1" t="str">
        <x:v>Ripple with chosen inductor</x:v>
      </x:c>
      <x:c r="B33" s="4" t="str">
        <x:f>IF(AND(ISNUMBER(B32),B32&gt;0),B6*(1-B6/B5)/(B32*1E-6*B10),"")</x:f>
      </x:c>
      <x:c r="C33" s="1" t="str">
        <x:v>A p-p</x:v>
      </x:c>
      <x:c r="D33" s="1" t="str">
        <x:v>Nominal frequency and inductance</x:v>
      </x:c>
    </x:row>
    <x:row r="34" ht="22" customHeight="1">
      <x:c r="A34" s="1" t="str">
        <x:v>Inductor peak current</x:v>
      </x:c>
      <x:c r="B34" s="4" t="str">
        <x:f>IF(ISNUMBER(B33),B9+B33/2,"")</x:f>
      </x:c>
      <x:c r="C34" s="1" t="str">
        <x:v>A</x:v>
      </x:c>
      <x:c r="D34" s="1" t="str">
        <x:v>Operating peak; check fault current separately</x:v>
      </x:c>
    </x:row>
    <x:row r="35" ht="22" customHeight="1">
      <x:c r="A35" s="1" t="str">
        <x:v>Inductor RMS current</x:v>
      </x:c>
      <x:c r="B35" s="4" t="str">
        <x:f>IF(ISNUMBER(B33),SQRT(B9^2+B33^2/12),"")</x:f>
      </x:c>
      <x:c r="C35" s="1" t="str">
        <x:v>A</x:v>
      </x:c>
      <x:c r="D35" s="1" t="str">
        <x:v>CCM, design current</x:v>
      </x:c>
    </x:row>
    <x:row r="36" ht="22" customHeight="1">
      <x:c r="A36" s="1" t="str">
        <x:v>Average output power</x:v>
      </x:c>
      <x:c r="B36" s="4" t="n">
        <x:f>B6*B7</x:f>
        <x:v>22.003</x:v>
      </x:c>
      <x:c r="C36" s="1" t="str">
        <x:v>W</x:v>
      </x:c>
      <x:c r="D36" s="1" t="str"/>
    </x:row>
    <x:row r="37" ht="22" customHeight="1">
      <x:c r="A37" s="1" t="str">
        <x:v>Design-load output power</x:v>
      </x:c>
      <x:c r="B37" s="4" t="n">
        <x:f>B6*B8</x:f>
        <x:v>33.89333333333333</x:v>
      </x:c>
      <x:c r="C37" s="1" t="str">
        <x:v>W</x:v>
      </x:c>
      <x:c r="D37" s="1" t="str">
        <x:v>Uses budget load, not full allocation</x:v>
      </x:c>
    </x:row>
    <x:row r="38" ht="22" customHeight="1">
      <x:c r="A38" s="1" t="str">
        <x:v>Average input power</x:v>
      </x:c>
      <x:c r="B38" s="4" t="n">
        <x:f>IF(AND(ISNUMBER(B12),B12&gt;0,B12&lt;=1),B36/B12,NA())</x:f>
        <x:v>24.447777777777777</x:v>
      </x:c>
      <x:c r="C38" s="1" t="str">
        <x:v>W</x:v>
      </x:c>
      <x:c r="D38" s="1" t="str"/>
    </x:row>
    <x:row r="39" ht="22" customHeight="1">
      <x:c r="A39" s="1" t="str">
        <x:v>Design-load input power</x:v>
      </x:c>
      <x:c r="B39" s="4" t="n">
        <x:f>IF(AND(ISNUMBER(B12),B12&gt;0,B12&lt;=1),B37/B12,NA())</x:f>
        <x:v>37.65925925925926</x:v>
      </x:c>
      <x:c r="C39" s="1" t="str">
        <x:v>W</x:v>
      </x:c>
      <x:c r="D39" s="1" t="str"/>
    </x:row>
    <x:row r="40" ht="22" customHeight="1">
      <x:c r="A40" s="1" t="str">
        <x:v>Average converter loss</x:v>
      </x:c>
      <x:c r="B40" s="4" t="n">
        <x:f>B38-B36</x:f>
        <x:v>2.4447777777777766</x:v>
      </x:c>
      <x:c r="C40" s="1" t="str">
        <x:v>W</x:v>
      </x:c>
      <x:c r="D40" s="1" t="str">
        <x:v>Whole converter, not IC alone</x:v>
      </x:c>
    </x:row>
    <x:row r="41" ht="22" customHeight="1">
      <x:c r="A41" s="1" t="str">
        <x:v>Design-load converter loss</x:v>
      </x:c>
      <x:c r="B41" s="4" t="n">
        <x:f>B39-B37</x:f>
        <x:v>3.7659259259259272</x:v>
      </x:c>
      <x:c r="C41" s="1" t="str">
        <x:v>W</x:v>
      </x:c>
      <x:c r="D41" s="1" t="str">
        <x:v>Whole converter, not IC alone</x:v>
      </x:c>
    </x:row>
    <x:row r="42" ht="22" customHeight="1">
      <x:c r="A42" s="1"/>
      <x:c r="B42" s="4"/>
      <x:c r="C42" s="1"/>
      <x:c r="D42" s="1"/>
    </x:row>
    <x:row r="43" ht="22" customHeight="1">
      <x:c r="A43" s="1"/>
      <x:c r="B43" s="4"/>
      <x:c r="C43" s="1"/>
      <x:c r="D43" s="1"/>
    </x:row>
    <x:row r="44" ht="22" customHeight="1">
      <x:c r="A44" s="8" t="str">
        <x:v>Feedback and Output Capacitors</x:v>
      </x:c>
      <x:c r="B44" s="9"/>
      <x:c r="C44" s="8"/>
      <x:c r="D44" s="8"/>
    </x:row>
    <x:row r="45" ht="22" customHeight="1">
      <x:c r="A45" s="1" t="str">
        <x:v>Parameter</x:v>
      </x:c>
      <x:c r="B45" s="4" t="str">
        <x:v>Value</x:v>
      </x:c>
      <x:c r="C45" s="1" t="str">
        <x:v>Unit</x:v>
      </x:c>
      <x:c r="D45" s="1" t="str">
        <x:v>Note</x:v>
      </x:c>
    </x:row>
    <x:row r="46" ht="22" customHeight="1">
      <x:c r="A46" s="1" t="str">
        <x:v>R bottom, chosen</x:v>
      </x:c>
      <x:c r="B46" s="4"/>
      <x:c r="C46" s="1" t="str">
        <x:v>ohm</x:v>
      </x:c>
      <x:c r="D46" s="1" t="str">
        <x:v>FB to ground</x:v>
      </x:c>
    </x:row>
    <x:row r="47" ht="22" customHeight="1">
      <x:c r="A47" s="1" t="str">
        <x:v>R top, calculated</x:v>
      </x:c>
      <x:c r="B47" s="4" t="str">
        <x:f>IF(ISNUMBER(B46),B46*(B6/B21-1),"")</x:f>
      </x:c>
      <x:c r="C47" s="1" t="str">
        <x:v>ohm</x:v>
      </x:c>
      <x:c r="D47" s="1" t="str">
        <x:v>Output to FB</x:v>
      </x:c>
    </x:row>
    <x:row r="48" ht="22" customHeight="1">
      <x:c r="A48" s="1" t="str">
        <x:v>R top, chosen</x:v>
      </x:c>
      <x:c r="B48" s="4"/>
      <x:c r="C48" s="1" t="str">
        <x:v>ohm</x:v>
      </x:c>
      <x:c r="D48" s="1" t="str">
        <x:v>TBD</x:v>
      </x:c>
    </x:row>
    <x:row r="49" ht="22" customHeight="1">
      <x:c r="A49" s="1" t="str">
        <x:v>Output with chosen divider</x:v>
      </x:c>
      <x:c r="B49" s="4" t="str">
        <x:f>IF(AND(COUNT(B46,B48)=2,B46&gt;0),B21*(1+B48/B46),"")</x:f>
      </x:c>
      <x:c r="C49" s="1" t="str">
        <x:v>V</x:v>
      </x:c>
      <x:c r="D49" s="1" t="str">
        <x:v>Nominal; reference / resistor tolerance separate</x:v>
      </x:c>
    </x:row>
    <x:row r="50" ht="22" customHeight="1">
      <x:c r="A50" s="1" t="str">
        <x:v>Output capacitance, nominal</x:v>
      </x:c>
      <x:c r="B50" s="4"/>
      <x:c r="C50" s="1" t="str">
        <x:v>uF</x:v>
      </x:c>
      <x:c r="D50" s="1" t="str">
        <x:v>TBD; bank total</x:v>
      </x:c>
    </x:row>
    <x:row r="51" ht="22" customHeight="1">
      <x:c r="A51" s="1" t="str">
        <x:v>Capacitance retained</x:v>
      </x:c>
      <x:c r="B51" s="11"/>
      <x:c r="C51" s="1" t="str"/>
      <x:c r="D51" s="1" t="str">
        <x:v>From DC bias, tolerance and temperature</x:v>
      </x:c>
    </x:row>
    <x:row r="52" ht="22" customHeight="1">
      <x:c r="A52" s="1" t="str">
        <x:v>Output capacitance, effective</x:v>
      </x:c>
      <x:c r="B52" s="4" t="str">
        <x:f>IF(COUNT(B50:B51)=2,B50*B51,"")</x:f>
      </x:c>
      <x:c r="C52" s="1" t="str">
        <x:v>uF</x:v>
      </x:c>
      <x:c r="D52" s="1" t="str">
        <x:v>Must also satisfy IC stability / transient needs</x:v>
      </x:c>
    </x:row>
    <x:row r="53" ht="22" customHeight="1">
      <x:c r="A53" s="1" t="str">
        <x:v>Output bank ESR</x:v>
      </x:c>
      <x:c r="B53" s="4"/>
      <x:c r="C53" s="1" t="str">
        <x:v>ohm</x:v>
      </x:c>
      <x:c r="D53" s="1" t="str">
        <x:v>At switching frequency</x:v>
      </x:c>
    </x:row>
    <x:row r="54" ht="22" customHeight="1">
      <x:c r="A54" s="1" t="str">
        <x:v>Estimated output ripple</x:v>
      </x:c>
      <x:c r="B54" s="4" t="str">
        <x:f>IF(AND(COUNT(B33,B52:B53)=3,B52&gt;0),B33*(B53+1/(8*B10*B52*1E-6))*1000,"")</x:f>
      </x:c>
      <x:c r="C54" s="1" t="str">
        <x:v>mV p-p</x:v>
      </x:c>
      <x:c r="D54" s="1" t="str">
        <x:v>CCM estimate; excludes ESL and switching spikes</x:v>
      </x:c>
    </x:row>
    <x:row r="55" ht="22" customHeight="1">
      <x:c r="A55" s="1" t="str">
        <x:v>Inductor part</x:v>
      </x:c>
      <x:c r="B55" s="4"/>
      <x:c r="C55" s="1" t="str"/>
      <x:c r="D55" s="1" t="str">
        <x:v>TBD</x:v>
      </x:c>
    </x:row>
    <x:row r="56" ht="22" customHeight="1">
      <x:c r="A56" s="1" t="str">
        <x:v>Output capacitor part</x:v>
      </x:c>
      <x:c r="B56" s="4"/>
      <x:c r="C56" s="1" t="str"/>
      <x:c r="D56" s="1" t="str">
        <x:v>TBD; keep DC-bias curve beside this calculation</x:v>
      </x:c>
    </x:row>
    <x:row r="57" ht="22" customHeight="1">
      <x:c r="A57" s="1"/>
      <x:c r="B57" s="1"/>
      <x:c r="C57" s="1"/>
      <x:c r="D57" s="1"/>
    </x:row>
    <x:row r="58" ht="22" customHeight="1">
      <x:c r="A58" s="1"/>
      <x:c r="B58" s="1"/>
      <x:c r="C58" s="1"/>
      <x:c r="D58" s="1"/>
    </x:row>
    <x:row r="59" ht="22" customHeight="1">
      <x:c r="A59" s="1"/>
      <x:c r="B59" s="1"/>
      <x:c r="C59" s="1"/>
      <x:c r="D59" s="1"/>
    </x:row>
  </x:sheetData>
  <x:mergeCells>
    <x:mergeCell ref="A1:D1"/>
    <x:mergeCell ref="A17:D17"/>
    <x:mergeCell ref="A24:D24"/>
    <x:mergeCell ref="A44:D44"/>
  </x:mergeCells>
  <x:pageMargins left="0.7" right="0.7" top="0.75" bottom="0.75" header="0.3" footer="0.3"/>
  <x:legacyDrawing xmlns:r="http://schemas.openxmlformats.org/officeDocument/2006/relationships" r:id="Rf4c649af2de247a5"/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33" hidden="0" customWidth="1"/>
    <x:col min="2" max="2" width="18" hidden="0" customWidth="1"/>
    <x:col min="3" max="3" width="10" hidden="0" customWidth="1"/>
    <x:col min="4" max="4" width="63" hidden="0" customWidth="1"/>
  </x:cols>
  <x:sheetData>
    <x:row r="1" ht="22" customHeight="1">
      <x:c r="A1" s="8" t="str">
        <x:v>TPS62933FDRLR RF 5 V</x:v>
      </x:c>
      <x:c r="B1" s="8"/>
      <x:c r="C1" s="8"/>
      <x:c r="D1" s="8"/>
    </x:row>
    <x:row r="2" ht="22" customHeight="1">
      <x:c r="A2" s="1" t="str">
        <x:v>Parameter</x:v>
      </x:c>
      <x:c r="B2" s="1" t="str">
        <x:v>Value</x:v>
      </x:c>
      <x:c r="C2" s="1" t="str">
        <x:v>Unit</x:v>
      </x:c>
      <x:c r="D2" s="1" t="str">
        <x:v>Note</x:v>
      </x:c>
    </x:row>
    <x:row r="3" ht="22" customHeight="1">
      <x:c r="A3" s="1" t="str">
        <x:v>Input voltage minimum</x:v>
      </x:c>
      <x:c r="B3" s="4" t="n">
        <x:f>'Battery'!B8</x:f>
        <x:v>9</x:v>
      </x:c>
      <x:c r="C3" s="1" t="str">
        <x:v>V</x:v>
      </x:c>
      <x:c r="D3" s="1" t="str">
        <x:v>Calculation point, not cutoff</x:v>
      </x:c>
    </x:row>
    <x:row r="4" ht="22" customHeight="1">
      <x:c r="A4" s="1" t="str">
        <x:v>Input voltage nominal</x:v>
      </x:c>
      <x:c r="B4" s="4" t="n">
        <x:f>'Battery'!B15</x:f>
        <x:v>10.8</x:v>
      </x:c>
      <x:c r="C4" s="1" t="str">
        <x:v>V</x:v>
      </x:c>
      <x:c r="D4" s="1" t="str">
        <x:v>3S</x:v>
      </x:c>
    </x:row>
    <x:row r="5" ht="22" customHeight="1">
      <x:c r="A5" s="1" t="str">
        <x:v>Input voltage maximum</x:v>
      </x:c>
      <x:c r="B5" s="4" t="n">
        <x:f>'Battery'!B16</x:f>
        <x:v>12.600000000000001</x:v>
      </x:c>
      <x:c r="C5" s="1" t="str">
        <x:v>V</x:v>
      </x:c>
      <x:c r="D5" s="1" t="str">
        <x:v>Battery only; transients separate</x:v>
      </x:c>
    </x:row>
    <x:row r="6" ht="22" customHeight="1">
      <x:c r="A6" s="1" t="str">
        <x:v>Output voltage</x:v>
      </x:c>
      <x:c r="B6" s="4" t="n">
        <x:v>5</x:v>
      </x:c>
      <x:c r="C6" s="1" t="str">
        <x:v>V</x:v>
      </x:c>
      <x:c r="D6" s="1" t="str">
        <x:v>Target</x:v>
      </x:c>
    </x:row>
    <x:row r="7" ht="22" customHeight="1">
      <x:c r="A7" s="1" t="str">
        <x:v>Average output current</x:v>
      </x:c>
      <x:c r="B7" s="4" t="n">
        <x:f>'Power budget'!F15/B6</x:f>
        <x:v>1</x:v>
      </x:c>
      <x:c r="C7" s="1" t="str">
        <x:v>A</x:v>
      </x:c>
      <x:c r="D7" s="1" t="str">
        <x:v>Power budget estimate</x:v>
      </x:c>
    </x:row>
    <x:row r="8" ht="22" customHeight="1">
      <x:c r="A8" s="1" t="str">
        <x:v>Design load current</x:v>
      </x:c>
      <x:c r="B8" s="4" t="n">
        <x:f>'Power budget'!G15/B6</x:f>
        <x:v>1.5</x:v>
      </x:c>
      <x:c r="C8" s="1" t="str">
        <x:v>A</x:v>
      </x:c>
      <x:c r="D8" s="1" t="str">
        <x:v>Power budget allowances</x:v>
      </x:c>
    </x:row>
    <x:row r="9" ht="22" customHeight="1">
      <x:c r="A9" s="1" t="str">
        <x:v>Converter design current</x:v>
      </x:c>
      <x:c r="B9" s="4" t="n">
        <x:v>1.5</x:v>
      </x:c>
      <x:c r="C9" s="1" t="str">
        <x:v>A</x:v>
      </x:c>
      <x:c r="D9" s="1" t="str">
        <x:v>Size the circuit for this allocation</x:v>
      </x:c>
    </x:row>
    <x:row r="10" ht="22" customHeight="1">
      <x:c r="A10" s="1" t="str">
        <x:v>Switching frequency</x:v>
      </x:c>
      <x:c r="B10" s="10" t="n">
        <x:v>500000</x:v>
      </x:c>
      <x:c r="C10" s="1" t="str">
        <x:v>Hz</x:v>
      </x:c>
      <x:c r="D10" s="1" t="str">
        <x:v>Initial 500 kHz; RT floating</x:v>
      </x:c>
    </x:row>
    <x:row r="11" ht="22" customHeight="1">
      <x:c r="A11" s="1" t="str">
        <x:v>Inductor ripple fraction</x:v>
      </x:c>
      <x:c r="B11" s="11" t="n">
        <x:v>0.3</x:v>
      </x:c>
      <x:c r="C11" s="1" t="str"/>
      <x:c r="D11" s="1" t="str">
        <x:v>Fraction of IC rated current</x:v>
      </x:c>
    </x:row>
    <x:row r="12" ht="22" customHeight="1">
      <x:c r="A12" s="1" t="str">
        <x:v>Efficiency</x:v>
      </x:c>
      <x:c r="B12" s="11" t="n">
        <x:v>0.9</x:v>
      </x:c>
      <x:c r="C12" s="1" t="str"/>
      <x:c r="D12" s="1" t="str">
        <x:v>Assumed at average and design load</x:v>
      </x:c>
    </x:row>
    <x:row r="13" ht="22" customHeight="1">
      <x:c r="A13" s="1" t="str">
        <x:v>Output ripple target</x:v>
      </x:c>
      <x:c r="B13" s="10" t="n">
        <x:v>20</x:v>
      </x:c>
      <x:c r="C13" s="1" t="str">
        <x:v>mV p-p</x:v>
      </x:c>
      <x:c r="D13" s="1" t="str">
        <x:v>Proposed; at converter design current</x:v>
      </x:c>
    </x:row>
    <x:row r="14" ht="22" customHeight="1">
      <x:c r="A14" s="1" t="str">
        <x:v>Ripple measurement bandwidth</x:v>
      </x:c>
      <x:c r="B14" s="10" t="n">
        <x:v>20</x:v>
      </x:c>
      <x:c r="C14" s="1" t="str">
        <x:v>MHz</x:v>
      </x:c>
      <x:c r="D14" s="1" t="str">
        <x:v>Short ground spring at output capacitors</x:v>
      </x:c>
    </x:row>
    <x:row r="15" ht="22" customHeight="1">
      <x:c r="A15" s="1"/>
      <x:c r="B15" s="4"/>
      <x:c r="C15" s="1"/>
      <x:c r="D15" s="1"/>
    </x:row>
    <x:row r="16" ht="22" customHeight="1">
      <x:c r="A16" s="1"/>
      <x:c r="B16" s="4"/>
      <x:c r="C16" s="1"/>
      <x:c r="D16" s="1"/>
    </x:row>
    <x:row r="17" ht="22" customHeight="1">
      <x:c r="A17" s="8" t="str">
        <x:v>Electrical Parameters</x:v>
      </x:c>
      <x:c r="B17" s="9"/>
      <x:c r="C17" s="8"/>
      <x:c r="D17" s="8"/>
    </x:row>
    <x:row r="18" ht="22" customHeight="1">
      <x:c r="A18" s="1" t="str">
        <x:v>Parameter</x:v>
      </x:c>
      <x:c r="B18" s="4" t="str">
        <x:v>Value</x:v>
      </x:c>
      <x:c r="C18" s="1" t="str">
        <x:v>Unit</x:v>
      </x:c>
      <x:c r="D18" s="1" t="str">
        <x:v>Note</x:v>
      </x:c>
    </x:row>
    <x:row r="19" ht="22" customHeight="1">
      <x:c r="A19" s="1" t="str">
        <x:v>IC output current rating</x:v>
      </x:c>
      <x:c r="B19" s="4" t="n">
        <x:v>3</x:v>
      </x:c>
      <x:c r="C19" s="1" t="str">
        <x:v>A</x:v>
      </x:c>
      <x:c r="D19" s="1" t="str">
        <x:v>Continuous capability still needs thermal sizing</x:v>
      </x:c>
    </x:row>
    <x:row r="20" ht="22" customHeight="1">
      <x:c r="A20" s="1" t="str">
        <x:v>Guide current factor</x:v>
      </x:c>
      <x:c r="B20" s="11" t="n">
        <x:v>0.7</x:v>
      </x:c>
      <x:c r="C20" s="1" t="str"/>
      <x:c r="D20" s="1" t="str">
        <x:v>SD-100001 current derating rule</x:v>
      </x:c>
    </x:row>
    <x:row r="21" ht="22" customHeight="1">
      <x:c r="A21" s="1" t="str">
        <x:v>Feedback reference</x:v>
      </x:c>
      <x:c r="B21" s="4" t="n">
        <x:v>0.8</x:v>
      </x:c>
      <x:c r="C21" s="1" t="str">
        <x:v>V</x:v>
      </x:c>
      <x:c r="D21" s="1" t="str">
        <x:v>Nominal; datasheet</x:v>
      </x:c>
    </x:row>
    <x:row r="22" ht="22" customHeight="1">
      <x:c r="A22" s="1" t="str">
        <x:v>High-side current limit, max</x:v>
      </x:c>
      <x:c r="B22" s="3" t="n">
        <x:v>5.8</x:v>
      </x:c>
      <x:c r="C22" s="1" t="str">
        <x:v>A</x:v>
      </x:c>
      <x:c r="D22" s="1" t="str">
        <x:v>Inductor fault sizing; not output rating</x:v>
      </x:c>
    </x:row>
    <x:row r="23" ht="22" customHeight="1">
      <x:c r="A23" s="1"/>
      <x:c r="B23" s="4"/>
      <x:c r="C23" s="1"/>
      <x:c r="D23" s="1"/>
    </x:row>
    <x:row r="24" ht="22" customHeight="1">
      <x:c r="A24" s="8" t="str">
        <x:v>Design Calculations</x:v>
      </x:c>
      <x:c r="B24" s="9"/>
      <x:c r="C24" s="8"/>
      <x:c r="D24" s="8"/>
    </x:row>
    <x:row r="25" ht="22" customHeight="1">
      <x:c r="A25" s="1" t="str">
        <x:v>Parameter</x:v>
      </x:c>
      <x:c r="B25" s="4" t="str">
        <x:v>Value</x:v>
      </x:c>
      <x:c r="C25" s="1" t="str">
        <x:v>Unit</x:v>
      </x:c>
      <x:c r="D25" s="1" t="str">
        <x:v>Note</x:v>
      </x:c>
    </x:row>
    <x:row r="26" ht="22" customHeight="1">
      <x:c r="A26" s="1" t="str">
        <x:v>Guide current ceiling</x:v>
      </x:c>
      <x:c r="B26" s="4" t="n">
        <x:f>B19*B20</x:f>
        <x:v>2.0999999999999996</x:v>
      </x:c>
      <x:c r="C26" s="1" t="str">
        <x:v>A</x:v>
      </x:c>
      <x:c r="D26" s="1" t="str"/>
    </x:row>
    <x:row r="27" ht="22" customHeight="1">
      <x:c r="A27" s="1" t="str">
        <x:v>Unused circuit allocation</x:v>
      </x:c>
      <x:c r="B27" s="4" t="n">
        <x:f>B9-B8</x:f>
        <x:v>0</x:v>
      </x:c>
      <x:c r="C27" s="1" t="str">
        <x:v>A</x:v>
      </x:c>
      <x:c r="D27" s="1" t="str">
        <x:v>Allocation minus budget load</x:v>
      </x:c>
    </x:row>
    <x:row r="28" ht="22" customHeight="1">
      <x:c r="A28" s="1" t="str">
        <x:v>Duty cycle, high Vin</x:v>
      </x:c>
      <x:c r="B28" s="11" t="n">
        <x:f>B6/B5</x:f>
        <x:v>0.3968253968253968</x:v>
      </x:c>
      <x:c r="C28" s="1" t="str"/>
      <x:c r="D28" s="1" t="str">
        <x:v>Ideal CCM</x:v>
      </x:c>
    </x:row>
    <x:row r="29" ht="22" customHeight="1">
      <x:c r="A29" s="1" t="str">
        <x:v>Duty cycle, low Vin</x:v>
      </x:c>
      <x:c r="B29" s="11" t="n">
        <x:f>B6/B3</x:f>
        <x:v>0.5555555555555556</x:v>
      </x:c>
      <x:c r="C29" s="1" t="str"/>
      <x:c r="D29" s="1" t="str">
        <x:v>Ideal CCM</x:v>
      </x:c>
    </x:row>
    <x:row r="30" ht="22" customHeight="1">
      <x:c r="A30" s="1" t="str">
        <x:v>Target inductor ripple</x:v>
      </x:c>
      <x:c r="B30" s="4" t="n">
        <x:f>B19*B11</x:f>
        <x:v>0.8999999999999999</x:v>
      </x:c>
      <x:c r="C30" s="1" t="str">
        <x:v>A p-p</x:v>
      </x:c>
      <x:c r="D30" s="1" t="str">
        <x:v>TI uses IC rated current</x:v>
      </x:c>
    </x:row>
    <x:row r="31" ht="22" customHeight="1">
      <x:c r="A31" s="1" t="str">
        <x:v>Inductor, calculated</x:v>
      </x:c>
      <x:c r="B31" s="4" t="n">
        <x:f>B6*(1-B6/B5)/(B30*B10)*1E6</x:f>
        <x:v>6.7019400352733705</x:v>
      </x:c>
      <x:c r="C31" s="1" t="str">
        <x:v>uH</x:v>
      </x:c>
      <x:c r="D31" s="1" t="str">
        <x:v>Ideal CCM; TI section 10.2.2.7</x:v>
      </x:c>
    </x:row>
    <x:row r="32" ht="22" customHeight="1">
      <x:c r="A32" s="1" t="str">
        <x:v>Inductor, chosen</x:v>
      </x:c>
      <x:c r="B32" s="4"/>
      <x:c r="C32" s="1" t="str">
        <x:v>uH</x:v>
      </x:c>
      <x:c r="D32" s="1" t="str">
        <x:v>TBD; check IC range, tolerance and DC bias</x:v>
      </x:c>
    </x:row>
    <x:row r="33" ht="22" customHeight="1">
      <x:c r="A33" s="1" t="str">
        <x:v>Ripple with chosen inductor</x:v>
      </x:c>
      <x:c r="B33" s="4" t="str">
        <x:f>IF(AND(ISNUMBER(B32),B32&gt;0),B6*(1-B6/B5)/(B32*1E-6*B10),"")</x:f>
      </x:c>
      <x:c r="C33" s="1" t="str">
        <x:v>A p-p</x:v>
      </x:c>
      <x:c r="D33" s="1" t="str">
        <x:v>Nominal frequency and inductance</x:v>
      </x:c>
    </x:row>
    <x:row r="34" ht="22" customHeight="1">
      <x:c r="A34" s="1" t="str">
        <x:v>Inductor peak current</x:v>
      </x:c>
      <x:c r="B34" s="4" t="str">
        <x:f>IF(ISNUMBER(B33),B9+B33/2,"")</x:f>
      </x:c>
      <x:c r="C34" s="1" t="str">
        <x:v>A</x:v>
      </x:c>
      <x:c r="D34" s="1" t="str">
        <x:v>Operating peak; check fault current separately</x:v>
      </x:c>
    </x:row>
    <x:row r="35" ht="22" customHeight="1">
      <x:c r="A35" s="1" t="str">
        <x:v>Inductor RMS current</x:v>
      </x:c>
      <x:c r="B35" s="4" t="str">
        <x:f>IF(ISNUMBER(B33),SQRT(B9^2+B33^2/12),"")</x:f>
      </x:c>
      <x:c r="C35" s="1" t="str">
        <x:v>A</x:v>
      </x:c>
      <x:c r="D35" s="1" t="str">
        <x:v>CCM, design current</x:v>
      </x:c>
    </x:row>
    <x:row r="36" ht="22" customHeight="1">
      <x:c r="A36" s="1" t="str">
        <x:v>Average output power</x:v>
      </x:c>
      <x:c r="B36" s="4" t="n">
        <x:f>B6*B7</x:f>
        <x:v>5</x:v>
      </x:c>
      <x:c r="C36" s="1" t="str">
        <x:v>W</x:v>
      </x:c>
      <x:c r="D36" s="1" t="str"/>
    </x:row>
    <x:row r="37" ht="22" customHeight="1">
      <x:c r="A37" s="1" t="str">
        <x:v>Design-load output power</x:v>
      </x:c>
      <x:c r="B37" s="4" t="n">
        <x:f>B6*B8</x:f>
        <x:v>7.5</x:v>
      </x:c>
      <x:c r="C37" s="1" t="str">
        <x:v>W</x:v>
      </x:c>
      <x:c r="D37" s="1" t="str">
        <x:v>Uses budget load, not full allocation</x:v>
      </x:c>
    </x:row>
    <x:row r="38" ht="22" customHeight="1">
      <x:c r="A38" s="1" t="str">
        <x:v>Average input power</x:v>
      </x:c>
      <x:c r="B38" s="4" t="n">
        <x:f>IF(AND(ISNUMBER(B12),B12&gt;0,B12&lt;=1),B36/B12,NA())</x:f>
        <x:v>5.555555555555555</x:v>
      </x:c>
      <x:c r="C38" s="1" t="str">
        <x:v>W</x:v>
      </x:c>
      <x:c r="D38" s="1" t="str"/>
    </x:row>
    <x:row r="39" ht="22" customHeight="1">
      <x:c r="A39" s="1" t="str">
        <x:v>Design-load input power</x:v>
      </x:c>
      <x:c r="B39" s="4" t="n">
        <x:f>IF(AND(ISNUMBER(B12),B12&gt;0,B12&lt;=1),B37/B12,NA())</x:f>
        <x:v>8.333333333333334</x:v>
      </x:c>
      <x:c r="C39" s="1" t="str">
        <x:v>W</x:v>
      </x:c>
      <x:c r="D39" s="1" t="str"/>
    </x:row>
    <x:row r="40" ht="22" customHeight="1">
      <x:c r="A40" s="1" t="str">
        <x:v>Average converter loss</x:v>
      </x:c>
      <x:c r="B40" s="4" t="n">
        <x:f>B38-B36</x:f>
        <x:v>0.5555555555555554</x:v>
      </x:c>
      <x:c r="C40" s="1" t="str">
        <x:v>W</x:v>
      </x:c>
      <x:c r="D40" s="1" t="str">
        <x:v>Whole converter, not IC alone</x:v>
      </x:c>
    </x:row>
    <x:row r="41" ht="22" customHeight="1">
      <x:c r="A41" s="1" t="str">
        <x:v>Design-load converter loss</x:v>
      </x:c>
      <x:c r="B41" s="4" t="n">
        <x:f>B39-B37</x:f>
        <x:v>0.8333333333333339</x:v>
      </x:c>
      <x:c r="C41" s="1" t="str">
        <x:v>W</x:v>
      </x:c>
      <x:c r="D41" s="1" t="str">
        <x:v>Whole converter, not IC alone</x:v>
      </x:c>
    </x:row>
    <x:row r="42" ht="22" customHeight="1">
      <x:c r="A42" s="1"/>
      <x:c r="B42" s="4"/>
      <x:c r="C42" s="1"/>
      <x:c r="D42" s="1"/>
    </x:row>
    <x:row r="43" ht="22" customHeight="1">
      <x:c r="A43" s="1"/>
      <x:c r="B43" s="4"/>
      <x:c r="C43" s="1"/>
      <x:c r="D43" s="1"/>
    </x:row>
    <x:row r="44" ht="22" customHeight="1">
      <x:c r="A44" s="8" t="str">
        <x:v>Feedback and Output Capacitors</x:v>
      </x:c>
      <x:c r="B44" s="9"/>
      <x:c r="C44" s="8"/>
      <x:c r="D44" s="8"/>
    </x:row>
    <x:row r="45" ht="22" customHeight="1">
      <x:c r="A45" s="1" t="str">
        <x:v>Parameter</x:v>
      </x:c>
      <x:c r="B45" s="4" t="str">
        <x:v>Value</x:v>
      </x:c>
      <x:c r="C45" s="1" t="str">
        <x:v>Unit</x:v>
      </x:c>
      <x:c r="D45" s="1" t="str">
        <x:v>Note</x:v>
      </x:c>
    </x:row>
    <x:row r="46" ht="22" customHeight="1">
      <x:c r="A46" s="1" t="str">
        <x:v>R bottom, chosen</x:v>
      </x:c>
      <x:c r="B46" s="4"/>
      <x:c r="C46" s="1" t="str">
        <x:v>ohm</x:v>
      </x:c>
      <x:c r="D46" s="1" t="str">
        <x:v>FB to ground</x:v>
      </x:c>
    </x:row>
    <x:row r="47" ht="22" customHeight="1">
      <x:c r="A47" s="1" t="str">
        <x:v>R top, calculated</x:v>
      </x:c>
      <x:c r="B47" s="4" t="str">
        <x:f>IF(ISNUMBER(B46),B46*(B6/B21-1),"")</x:f>
      </x:c>
      <x:c r="C47" s="1" t="str">
        <x:v>ohm</x:v>
      </x:c>
      <x:c r="D47" s="1" t="str">
        <x:v>Output to FB</x:v>
      </x:c>
    </x:row>
    <x:row r="48" ht="22" customHeight="1">
      <x:c r="A48" s="1" t="str">
        <x:v>R top, chosen</x:v>
      </x:c>
      <x:c r="B48" s="4"/>
      <x:c r="C48" s="1" t="str">
        <x:v>ohm</x:v>
      </x:c>
      <x:c r="D48" s="1" t="str">
        <x:v>TBD</x:v>
      </x:c>
    </x:row>
    <x:row r="49" ht="22" customHeight="1">
      <x:c r="A49" s="1" t="str">
        <x:v>Output with chosen divider</x:v>
      </x:c>
      <x:c r="B49" s="4" t="str">
        <x:f>IF(AND(COUNT(B46,B48)=2,B46&gt;0),B21*(1+B48/B46),"")</x:f>
      </x:c>
      <x:c r="C49" s="1" t="str">
        <x:v>V</x:v>
      </x:c>
      <x:c r="D49" s="1" t="str">
        <x:v>Nominal; reference / resistor tolerance separate</x:v>
      </x:c>
    </x:row>
    <x:row r="50" ht="22" customHeight="1">
      <x:c r="A50" s="1" t="str">
        <x:v>Output capacitance, nominal</x:v>
      </x:c>
      <x:c r="B50" s="4"/>
      <x:c r="C50" s="1" t="str">
        <x:v>uF</x:v>
      </x:c>
      <x:c r="D50" s="1" t="str">
        <x:v>TBD; bank total</x:v>
      </x:c>
    </x:row>
    <x:row r="51" ht="22" customHeight="1">
      <x:c r="A51" s="1" t="str">
        <x:v>Capacitance retained</x:v>
      </x:c>
      <x:c r="B51" s="11"/>
      <x:c r="C51" s="1" t="str"/>
      <x:c r="D51" s="1" t="str">
        <x:v>From DC bias, tolerance and temperature</x:v>
      </x:c>
    </x:row>
    <x:row r="52" ht="22" customHeight="1">
      <x:c r="A52" s="1" t="str">
        <x:v>Output capacitance, effective</x:v>
      </x:c>
      <x:c r="B52" s="4" t="str">
        <x:f>IF(COUNT(B50:B51)=2,B50*B51,"")</x:f>
      </x:c>
      <x:c r="C52" s="1" t="str">
        <x:v>uF</x:v>
      </x:c>
      <x:c r="D52" s="1" t="str">
        <x:v>Must also satisfy IC stability / transient needs</x:v>
      </x:c>
    </x:row>
    <x:row r="53" ht="22" customHeight="1">
      <x:c r="A53" s="1" t="str">
        <x:v>Output bank ESR</x:v>
      </x:c>
      <x:c r="B53" s="4"/>
      <x:c r="C53" s="1" t="str">
        <x:v>ohm</x:v>
      </x:c>
      <x:c r="D53" s="1" t="str">
        <x:v>At switching frequency</x:v>
      </x:c>
    </x:row>
    <x:row r="54" ht="22" customHeight="1">
      <x:c r="A54" s="1" t="str">
        <x:v>Estimated output ripple</x:v>
      </x:c>
      <x:c r="B54" s="4" t="str">
        <x:f>IF(AND(COUNT(B33,B52:B53)=3,B52&gt;0),B33*(B53+1/(8*B10*B52*1E-6))*1000,"")</x:f>
      </x:c>
      <x:c r="C54" s="1" t="str">
        <x:v>mV p-p</x:v>
      </x:c>
      <x:c r="D54" s="1" t="str">
        <x:v>CCM estimate; excludes ESL and switching spikes</x:v>
      </x:c>
    </x:row>
    <x:row r="55" ht="22" customHeight="1">
      <x:c r="A55" s="1" t="str">
        <x:v>Inductor part</x:v>
      </x:c>
      <x:c r="B55" s="4"/>
      <x:c r="C55" s="1" t="str"/>
      <x:c r="D55" s="1" t="str">
        <x:v>TBD</x:v>
      </x:c>
    </x:row>
    <x:row r="56" ht="22" customHeight="1">
      <x:c r="A56" s="1" t="str">
        <x:v>Output capacitor part</x:v>
      </x:c>
      <x:c r="B56" s="4"/>
      <x:c r="C56" s="1" t="str"/>
      <x:c r="D56" s="1" t="str">
        <x:v>TBD; keep DC-bias curve beside this calculation</x:v>
      </x:c>
    </x:row>
    <x:row r="57" ht="22" customHeight="1">
      <x:c r="A57" s="1"/>
      <x:c r="B57" s="1"/>
      <x:c r="C57" s="1"/>
      <x:c r="D57" s="1"/>
    </x:row>
    <x:row r="58" ht="22" customHeight="1">
      <x:c r="A58" s="1"/>
      <x:c r="B58" s="1"/>
      <x:c r="C58" s="1"/>
      <x:c r="D58" s="1"/>
    </x:row>
    <x:row r="59" ht="22" customHeight="1">
      <x:c r="A59" s="1"/>
      <x:c r="B59" s="1"/>
      <x:c r="C59" s="1"/>
      <x:c r="D59" s="1"/>
    </x:row>
  </x:sheetData>
  <x:mergeCells>
    <x:mergeCell ref="A1:D1"/>
    <x:mergeCell ref="A17:D17"/>
    <x:mergeCell ref="A24:D24"/>
    <x:mergeCell ref="A44:D44"/>
  </x:mergeCells>
  <x:pageMargins left="0.7" right="0.7" top="0.75" bottom="0.75" header="0.3" footer="0.3"/>
  <x:legacyDrawing xmlns:r="http://schemas.openxmlformats.org/officeDocument/2006/relationships" r:id="R0d582a5b7d2145c0"/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33" hidden="0" customWidth="1"/>
    <x:col min="2" max="2" width="18" hidden="0" customWidth="1"/>
    <x:col min="3" max="3" width="10" hidden="0" customWidth="1"/>
    <x:col min="4" max="4" width="63" hidden="0" customWidth="1"/>
  </x:cols>
  <x:sheetData>
    <x:row r="1" ht="22" customHeight="1">
      <x:c r="A1" s="8" t="str">
        <x:v>TLV75801PDRVR Camera 4 V</x:v>
      </x:c>
      <x:c r="B1" s="8"/>
      <x:c r="C1" s="8"/>
      <x:c r="D1" s="8"/>
    </x:row>
    <x:row r="2" ht="22" customHeight="1">
      <x:c r="A2" s="1" t="str">
        <x:v>Parameter</x:v>
      </x:c>
      <x:c r="B2" s="1" t="str">
        <x:v>Value</x:v>
      </x:c>
      <x:c r="C2" s="1" t="str">
        <x:v>Unit</x:v>
      </x:c>
      <x:c r="D2" s="1" t="str">
        <x:v>Note</x:v>
      </x:c>
    </x:row>
    <x:row r="3" ht="22" customHeight="1">
      <x:c r="A3" s="1" t="str">
        <x:v>Input voltage</x:v>
      </x:c>
      <x:c r="B3" s="4" t="n">
        <x:f>'LM61495 Main 5V'!B6</x:f>
        <x:v>5</x:v>
      </x:c>
      <x:c r="C3" s="1" t="str">
        <x:v>V</x:v>
      </x:c>
      <x:c r="D3" s="1" t="str">
        <x:v>Nominal</x:v>
      </x:c>
    </x:row>
    <x:row r="4" ht="22" customHeight="1">
      <x:c r="A4" s="1" t="str">
        <x:v>Output voltage</x:v>
      </x:c>
      <x:c r="B4" s="4" t="n">
        <x:v>4</x:v>
      </x:c>
      <x:c r="C4" s="1" t="str">
        <x:v>V</x:v>
      </x:c>
      <x:c r="D4" s="1" t="str">
        <x:v>Target</x:v>
      </x:c>
    </x:row>
    <x:row r="5" ht="22" customHeight="1">
      <x:c r="A5" s="1" t="str">
        <x:v>Average output current</x:v>
      </x:c>
      <x:c r="B5" s="4" t="n">
        <x:f>'Power budget'!F12/B4</x:f>
        <x:v>0.129</x:v>
      </x:c>
      <x:c r="C5" s="1" t="str">
        <x:v>A</x:v>
      </x:c>
      <x:c r="D5" s="1" t="str">
        <x:v>Two cameras, combined estimate</x:v>
      </x:c>
    </x:row>
    <x:row r="6" ht="22" customHeight="1">
      <x:c r="A6" s="1" t="str">
        <x:v>Design output current</x:v>
      </x:c>
      <x:c r="B6" s="4" t="n">
        <x:f>'Power budget'!G12/B4</x:f>
        <x:v>0.3</x:v>
      </x:c>
      <x:c r="C6" s="1" t="str">
        <x:v>A</x:v>
      </x:c>
      <x:c r="D6" s="1" t="str">
        <x:v>Two cameras, combined allowance</x:v>
      </x:c>
    </x:row>
    <x:row r="7" ht="22" customHeight="1">
      <x:c r="A7" s="1" t="str">
        <x:v>Startup order</x:v>
      </x:c>
      <x:c r="B7" s="4" t="str">
        <x:v>After 1.8 V</x:v>
      </x:c>
      <x:c r="C7" s="1" t="str"/>
      <x:c r="D7" s="1" t="str">
        <x:v>Shared camera rails</x:v>
      </x:c>
    </x:row>
    <x:row r="8" ht="22" customHeight="1">
      <x:c r="A8" s="1"/>
      <x:c r="B8" s="4"/>
      <x:c r="C8" s="1"/>
      <x:c r="D8" s="1"/>
    </x:row>
    <x:row r="9" ht="22" customHeight="1">
      <x:c r="A9" s="1"/>
      <x:c r="B9" s="4"/>
      <x:c r="C9" s="1"/>
      <x:c r="D9" s="1"/>
    </x:row>
    <x:row r="10" ht="22" customHeight="1">
      <x:c r="A10" s="1"/>
      <x:c r="B10" s="4"/>
      <x:c r="C10" s="1"/>
      <x:c r="D10" s="1"/>
    </x:row>
    <x:row r="11" ht="22" customHeight="1">
      <x:c r="A11" s="8" t="str">
        <x:v>Electrical Parameters</x:v>
      </x:c>
      <x:c r="B11" s="9"/>
      <x:c r="C11" s="8"/>
      <x:c r="D11" s="8"/>
    </x:row>
    <x:row r="12" ht="22" customHeight="1">
      <x:c r="A12" s="1" t="str">
        <x:v>Parameter</x:v>
      </x:c>
      <x:c r="B12" s="4" t="str">
        <x:v>Value</x:v>
      </x:c>
      <x:c r="C12" s="1" t="str">
        <x:v>Unit</x:v>
      </x:c>
      <x:c r="D12" s="1" t="str">
        <x:v>Note</x:v>
      </x:c>
    </x:row>
    <x:row r="13" ht="22" customHeight="1">
      <x:c r="A13" s="1" t="str">
        <x:v>IC output current rating</x:v>
      </x:c>
      <x:c r="B13" s="4" t="n">
        <x:v>0.5</x:v>
      </x:c>
      <x:c r="C13" s="1" t="str">
        <x:v>A</x:v>
      </x:c>
      <x:c r="D13" s="1" t="str"/>
    </x:row>
    <x:row r="14" ht="22" customHeight="1">
      <x:c r="A14" s="1" t="str">
        <x:v>Guide current factor</x:v>
      </x:c>
      <x:c r="B14" s="6" t="n">
        <x:v>0.7</x:v>
      </x:c>
      <x:c r="C14" s="1" t="str"/>
      <x:c r="D14" s="1" t="str">
        <x:v>SD-100001</x:v>
      </x:c>
    </x:row>
    <x:row r="15" ht="22" customHeight="1">
      <x:c r="A15" s="1" t="str">
        <x:v>Feedback reference</x:v>
      </x:c>
      <x:c r="B15" s="4" t="n">
        <x:v>0.55</x:v>
      </x:c>
      <x:c r="C15" s="1" t="str">
        <x:v>V</x:v>
      </x:c>
      <x:c r="D15" s="1" t="str">
        <x:v>Nominal at 25 C</x:v>
      </x:c>
    </x:row>
    <x:row r="16" ht="22" customHeight="1">
      <x:c r="A16" s="1" t="str">
        <x:v>Datasheet theta JA</x:v>
      </x:c>
      <x:c r="B16" s="3" t="n">
        <x:v>80.3</x:v>
      </x:c>
      <x:c r="C16" s="1" t="str">
        <x:v>C/W</x:v>
      </x:c>
      <x:c r="D16" s="1" t="str">
        <x:v>JEDEC metric, DRV package</x:v>
      </x:c>
    </x:row>
    <x:row r="17" ht="22" customHeight="1">
      <x:c r="A17" s="1" t="str">
        <x:v>Ambient temperature</x:v>
      </x:c>
      <x:c r="B17" s="3" t="n">
        <x:v>50</x:v>
      </x:c>
      <x:c r="C17" s="1" t="str">
        <x:v>C</x:v>
      </x:c>
      <x:c r="D17" s="1" t="str">
        <x:v>Planning assumption</x:v>
      </x:c>
    </x:row>
    <x:row r="18" ht="22" customHeight="1">
      <x:c r="A18" s="1"/>
      <x:c r="B18" s="4"/>
      <x:c r="C18" s="1"/>
      <x:c r="D18" s="1"/>
    </x:row>
    <x:row r="19" ht="22" customHeight="1">
      <x:c r="A19" s="1"/>
      <x:c r="B19" s="4"/>
      <x:c r="C19" s="1"/>
      <x:c r="D19" s="1"/>
    </x:row>
    <x:row r="20" ht="22" customHeight="1">
      <x:c r="A20" s="1"/>
      <x:c r="B20" s="4"/>
      <x:c r="C20" s="1"/>
      <x:c r="D20" s="1"/>
    </x:row>
    <x:row r="21" ht="22" customHeight="1">
      <x:c r="A21" s="8" t="str">
        <x:v>Design Calculations</x:v>
      </x:c>
      <x:c r="B21" s="9"/>
      <x:c r="C21" s="8"/>
      <x:c r="D21" s="8"/>
    </x:row>
    <x:row r="22" ht="22" customHeight="1">
      <x:c r="A22" s="1" t="str">
        <x:v>Parameter</x:v>
      </x:c>
      <x:c r="B22" s="4" t="str">
        <x:v>Value</x:v>
      </x:c>
      <x:c r="C22" s="1" t="str">
        <x:v>Unit</x:v>
      </x:c>
      <x:c r="D22" s="1" t="str">
        <x:v>Note</x:v>
      </x:c>
    </x:row>
    <x:row r="23" ht="22" customHeight="1">
      <x:c r="A23" s="1" t="str">
        <x:v>Guide current ceiling</x:v>
      </x:c>
      <x:c r="B23" s="4" t="n">
        <x:f>B13*B14</x:f>
        <x:v>0.35</x:v>
      </x:c>
      <x:c r="C23" s="1" t="str">
        <x:v>A</x:v>
      </x:c>
      <x:c r="D23" s="1" t="str"/>
    </x:row>
    <x:row r="24" ht="22" customHeight="1">
      <x:c r="A24" s="1" t="str">
        <x:v>Unused guide allowance</x:v>
      </x:c>
      <x:c r="B24" s="4" t="n">
        <x:f>B23-B6</x:f>
        <x:v>0.04999999999999999</x:v>
      </x:c>
      <x:c r="C24" s="1" t="str">
        <x:v>A</x:v>
      </x:c>
      <x:c r="D24" s="1" t="str"/>
    </x:row>
    <x:row r="25" ht="22" customHeight="1">
      <x:c r="A25" s="1" t="str">
        <x:v>Nominal voltage headroom</x:v>
      </x:c>
      <x:c r="B25" s="4" t="n">
        <x:f>B3-B4</x:f>
        <x:v>1</x:v>
      </x:c>
      <x:c r="C25" s="1" t="str">
        <x:v>V</x:v>
      </x:c>
      <x:c r="D25" s="1" t="str">
        <x:v>Minimum input / maximum output still to check</x:v>
      </x:c>
    </x:row>
    <x:row r="26" ht="22" customHeight="1">
      <x:c r="A26" s="1" t="str">
        <x:v>Average dissipation</x:v>
      </x:c>
      <x:c r="B26" s="4" t="n">
        <x:f>(B3-B4)*B5</x:f>
        <x:v>0.129</x:v>
      </x:c>
      <x:c r="C26" s="1" t="str">
        <x:v>W</x:v>
      </x:c>
      <x:c r="D26" s="1" t="str">
        <x:v>Quiescent loss covered by battery overhead</x:v>
      </x:c>
    </x:row>
    <x:row r="27" ht="22" customHeight="1">
      <x:c r="A27" s="1" t="str">
        <x:v>Design dissipation</x:v>
      </x:c>
      <x:c r="B27" s="4" t="n">
        <x:f>(B3-B4)*B6</x:f>
        <x:v>0.3</x:v>
      </x:c>
      <x:c r="C27" s="1" t="str">
        <x:v>W</x:v>
      </x:c>
      <x:c r="D27" s="1" t="str"/>
    </x:row>
    <x:row r="28" ht="22" customHeight="1">
      <x:c r="A28" s="1" t="str">
        <x:v>Average input power</x:v>
      </x:c>
      <x:c r="B28" s="4" t="n">
        <x:f>B3*B5</x:f>
        <x:v>0.645</x:v>
      </x:c>
      <x:c r="C28" s="1" t="str">
        <x:v>W</x:v>
      </x:c>
      <x:c r="D28" s="1" t="str"/>
    </x:row>
    <x:row r="29" ht="22" customHeight="1">
      <x:c r="A29" s="1" t="str">
        <x:v>Design input power</x:v>
      </x:c>
      <x:c r="B29" s="4" t="n">
        <x:f>B3*B6</x:f>
        <x:v>1.5</x:v>
      </x:c>
      <x:c r="C29" s="1" t="str">
        <x:v>W</x:v>
      </x:c>
      <x:c r="D29" s="1" t="str"/>
    </x:row>
    <x:row r="30" ht="22" customHeight="1">
      <x:c r="A30" s="1" t="str">
        <x:v>Tj using datasheet theta JA</x:v>
      </x:c>
      <x:c r="B30" s="3" t="n">
        <x:f>B17+B27*B16</x:f>
        <x:v>74.09</x:v>
      </x:c>
      <x:c r="C30" s="1" t="str">
        <x:v>C</x:v>
      </x:c>
      <x:c r="D30" s="1" t="str">
        <x:v>JEDEC estimate; PCB thermal model TBD</x:v>
      </x:c>
    </x:row>
    <x:row r="31" ht="22" customHeight="1">
      <x:c r="A31" s="1"/>
      <x:c r="B31" s="4"/>
      <x:c r="C31" s="1"/>
      <x:c r="D31" s="1"/>
    </x:row>
    <x:row r="32" ht="22" customHeight="1">
      <x:c r="A32" s="1"/>
      <x:c r="B32" s="4"/>
      <x:c r="C32" s="1"/>
      <x:c r="D32" s="1"/>
    </x:row>
    <x:row r="33" ht="22" customHeight="1">
      <x:c r="A33" s="8" t="str">
        <x:v>Feedback and Output Capacitor</x:v>
      </x:c>
      <x:c r="B33" s="9"/>
      <x:c r="C33" s="8"/>
      <x:c r="D33" s="8"/>
    </x:row>
    <x:row r="34" ht="22" customHeight="1">
      <x:c r="A34" s="1" t="str">
        <x:v>Parameter</x:v>
      </x:c>
      <x:c r="B34" s="4" t="str">
        <x:v>Value</x:v>
      </x:c>
      <x:c r="C34" s="1" t="str">
        <x:v>Unit</x:v>
      </x:c>
      <x:c r="D34" s="1" t="str">
        <x:v>Note</x:v>
      </x:c>
    </x:row>
    <x:row r="35" ht="22" customHeight="1">
      <x:c r="A35" s="1" t="str">
        <x:v>R bottom, chosen</x:v>
      </x:c>
      <x:c r="B35" s="4"/>
      <x:c r="C35" s="1" t="str">
        <x:v>ohm</x:v>
      </x:c>
      <x:c r="D35" s="1" t="str">
        <x:v>FB to ground</x:v>
      </x:c>
    </x:row>
    <x:row r="36" ht="22" customHeight="1">
      <x:c r="A36" s="1" t="str">
        <x:v>R top, calculated</x:v>
      </x:c>
      <x:c r="B36" s="4" t="str">
        <x:f>IF(ISNUMBER(B35),B35*(B4/B15-1),"")</x:f>
      </x:c>
      <x:c r="C36" s="1" t="str">
        <x:v>ohm</x:v>
      </x:c>
      <x:c r="D36" s="1" t="str">
        <x:v>Output to FB</x:v>
      </x:c>
    </x:row>
    <x:row r="37" ht="22" customHeight="1">
      <x:c r="A37" s="1" t="str">
        <x:v>R top, chosen</x:v>
      </x:c>
      <x:c r="B37" s="4"/>
      <x:c r="C37" s="1" t="str">
        <x:v>ohm</x:v>
      </x:c>
      <x:c r="D37" s="1" t="str">
        <x:v>TBD</x:v>
      </x:c>
    </x:row>
    <x:row r="38" ht="22" customHeight="1">
      <x:c r="A38" s="1" t="str">
        <x:v>Output with chosen divider</x:v>
      </x:c>
      <x:c r="B38" s="4" t="str">
        <x:f>IF(AND(COUNT(B35,B37)=2,B35&gt;0),B15*(1+B37/B35),"")</x:f>
      </x:c>
      <x:c r="C38" s="1" t="str">
        <x:v>V</x:v>
      </x:c>
      <x:c r="D38" s="1" t="str">
        <x:v>Nominal; tolerance calculation still needed</x:v>
      </x:c>
    </x:row>
    <x:row r="39" ht="22" customHeight="1">
      <x:c r="A39" s="1" t="str">
        <x:v>Output capacitor part</x:v>
      </x:c>
      <x:c r="B39" s="4"/>
      <x:c r="C39" s="1" t="str"/>
      <x:c r="D39" s="1" t="str">
        <x:v>TBD</x:v>
      </x:c>
    </x:row>
    <x:row r="40" ht="22" customHeight="1">
      <x:c r="A40" s="1" t="str">
        <x:v>Output capacitance, effective</x:v>
      </x:c>
      <x:c r="B40" s="4"/>
      <x:c r="C40" s="1" t="str">
        <x:v>uF</x:v>
      </x:c>
      <x:c r="D40" s="1" t="str">
        <x:v>Use DC-bias curve, tolerance and temperature</x:v>
      </x:c>
    </x:row>
    <x:row r="41" ht="22" customHeight="1">
      <x:c r="A41" s="1"/>
      <x:c r="B41" s="1"/>
      <x:c r="C41" s="1"/>
      <x:c r="D41" s="1"/>
    </x:row>
    <x:row r="42" ht="22" customHeight="1">
      <x:c r="A42" s="1"/>
      <x:c r="B42" s="1"/>
      <x:c r="C42" s="1"/>
      <x:c r="D42" s="1"/>
    </x:row>
    <x:row r="43" ht="22" customHeight="1">
      <x:c r="A43" s="1"/>
      <x:c r="B43" s="1"/>
      <x:c r="C43" s="1"/>
      <x:c r="D43" s="1"/>
    </x:row>
    <x:row r="44" ht="22" customHeight="1">
      <x:c r="A44" s="1"/>
      <x:c r="B44" s="1"/>
      <x:c r="C44" s="1"/>
      <x:c r="D44" s="1"/>
    </x:row>
    <x:row r="45" ht="22" customHeight="1">
      <x:c r="A45" s="1"/>
      <x:c r="B45" s="1"/>
      <x:c r="C45" s="1"/>
      <x:c r="D45" s="1"/>
    </x:row>
    <x:row r="46" ht="22" customHeight="1">
      <x:c r="A46" s="1"/>
      <x:c r="B46" s="1"/>
      <x:c r="C46" s="1"/>
      <x:c r="D46" s="1"/>
    </x:row>
    <x:row r="47" ht="22" customHeight="1">
      <x:c r="A47" s="1"/>
      <x:c r="B47" s="1"/>
      <x:c r="C47" s="1"/>
      <x:c r="D47" s="1"/>
    </x:row>
    <x:row r="48" ht="22" customHeight="1">
      <x:c r="A48" s="1"/>
      <x:c r="B48" s="1"/>
      <x:c r="C48" s="1"/>
      <x:c r="D48" s="1"/>
    </x:row>
    <x:row r="49" ht="22" customHeight="1">
      <x:c r="A49" s="1"/>
      <x:c r="B49" s="1"/>
      <x:c r="C49" s="1"/>
      <x:c r="D49" s="1"/>
    </x:row>
    <x:row r="50" ht="22" customHeight="1">
      <x:c r="A50" s="1"/>
      <x:c r="B50" s="1"/>
      <x:c r="C50" s="1"/>
      <x:c r="D50" s="1"/>
    </x:row>
    <x:row r="51" ht="22" customHeight="1">
      <x:c r="A51" s="1"/>
      <x:c r="B51" s="1"/>
      <x:c r="C51" s="1"/>
      <x:c r="D51" s="1"/>
    </x:row>
    <x:row r="52" ht="22" customHeight="1">
      <x:c r="A52" s="1"/>
      <x:c r="B52" s="1"/>
      <x:c r="C52" s="1"/>
      <x:c r="D52" s="1"/>
    </x:row>
    <x:row r="53" ht="22" customHeight="1">
      <x:c r="A53" s="1"/>
      <x:c r="B53" s="1"/>
      <x:c r="C53" s="1"/>
      <x:c r="D53" s="1"/>
    </x:row>
    <x:row r="54" ht="22" customHeight="1">
      <x:c r="A54" s="1"/>
      <x:c r="B54" s="1"/>
      <x:c r="C54" s="1"/>
      <x:c r="D54" s="1"/>
    </x:row>
    <x:row r="55" ht="22" customHeight="1">
      <x:c r="A55" s="1"/>
      <x:c r="B55" s="1"/>
      <x:c r="C55" s="1"/>
      <x:c r="D55" s="1"/>
    </x:row>
    <x:row r="56" ht="22" customHeight="1">
      <x:c r="A56" s="1"/>
      <x:c r="B56" s="1"/>
      <x:c r="C56" s="1"/>
      <x:c r="D56" s="1"/>
    </x:row>
    <x:row r="57" ht="22" customHeight="1">
      <x:c r="A57" s="1"/>
      <x:c r="B57" s="1"/>
      <x:c r="C57" s="1"/>
      <x:c r="D57" s="1"/>
    </x:row>
    <x:row r="58" ht="22" customHeight="1">
      <x:c r="A58" s="1"/>
      <x:c r="B58" s="1"/>
      <x:c r="C58" s="1"/>
      <x:c r="D58" s="1"/>
    </x:row>
    <x:row r="59" ht="22" customHeight="1">
      <x:c r="A59" s="1"/>
      <x:c r="B59" s="1"/>
      <x:c r="C59" s="1"/>
      <x:c r="D59" s="1"/>
    </x:row>
  </x:sheetData>
  <x:mergeCells>
    <x:mergeCell ref="A1:D1"/>
    <x:mergeCell ref="A11:D11"/>
    <x:mergeCell ref="A21:D21"/>
    <x:mergeCell ref="A33:D33"/>
  </x:mergeCells>
  <x:pageMargins left="0.7" right="0.7" top="0.75" bottom="0.75" header="0.3" footer="0.3"/>
  <x:legacyDrawing xmlns:r="http://schemas.openxmlformats.org/officeDocument/2006/relationships" r:id="R69b16face3c14bc4"/>
</x:worksheet>
</file>

<file path=xl/worksheets/sheet5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33" hidden="0" customWidth="1"/>
    <x:col min="2" max="2" width="18" hidden="0" customWidth="1"/>
    <x:col min="3" max="3" width="10" hidden="0" customWidth="1"/>
    <x:col min="4" max="4" width="63" hidden="0" customWidth="1"/>
  </x:cols>
  <x:sheetData>
    <x:row r="1" ht="22" customHeight="1">
      <x:c r="A1" s="8" t="str">
        <x:v>TLV75801PDRVR Camera 1.8 V</x:v>
      </x:c>
      <x:c r="B1" s="8"/>
      <x:c r="C1" s="8"/>
      <x:c r="D1" s="8"/>
    </x:row>
    <x:row r="2" ht="22" customHeight="1">
      <x:c r="A2" s="1" t="str">
        <x:v>Parameter</x:v>
      </x:c>
      <x:c r="B2" s="1" t="str">
        <x:v>Value</x:v>
      </x:c>
      <x:c r="C2" s="1" t="str">
        <x:v>Unit</x:v>
      </x:c>
      <x:c r="D2" s="1" t="str">
        <x:v>Note</x:v>
      </x:c>
    </x:row>
    <x:row r="3" ht="22" customHeight="1">
      <x:c r="A3" s="1" t="str">
        <x:v>Input voltage</x:v>
      </x:c>
      <x:c r="B3" s="4" t="n">
        <x:f>'Power budget'!B28</x:f>
        <x:v>3.3</x:v>
      </x:c>
      <x:c r="C3" s="1" t="str">
        <x:v>V</x:v>
      </x:c>
      <x:c r="D3" s="1" t="str">
        <x:v>Nominal</x:v>
      </x:c>
    </x:row>
    <x:row r="4" ht="22" customHeight="1">
      <x:c r="A4" s="1" t="str">
        <x:v>Output voltage</x:v>
      </x:c>
      <x:c r="B4" s="4" t="n">
        <x:v>1.8</x:v>
      </x:c>
      <x:c r="C4" s="1" t="str">
        <x:v>V</x:v>
      </x:c>
      <x:c r="D4" s="1" t="str">
        <x:v>Target</x:v>
      </x:c>
    </x:row>
    <x:row r="5" ht="22" customHeight="1">
      <x:c r="A5" s="1" t="str">
        <x:v>Average output current</x:v>
      </x:c>
      <x:c r="B5" s="4" t="n">
        <x:f>'Power budget'!F13/B4</x:f>
        <x:v>0.194</x:v>
      </x:c>
      <x:c r="C5" s="1" t="str">
        <x:v>A</x:v>
      </x:c>
      <x:c r="D5" s="1" t="str">
        <x:v>Two cameras, combined estimate</x:v>
      </x:c>
    </x:row>
    <x:row r="6" ht="22" customHeight="1">
      <x:c r="A6" s="1" t="str">
        <x:v>Design output current</x:v>
      </x:c>
      <x:c r="B6" s="4" t="n">
        <x:f>'Power budget'!G13/B4</x:f>
        <x:v>0.3</x:v>
      </x:c>
      <x:c r="C6" s="1" t="str">
        <x:v>A</x:v>
      </x:c>
      <x:c r="D6" s="1" t="str">
        <x:v>Two cameras, combined allowance</x:v>
      </x:c>
    </x:row>
    <x:row r="7" ht="22" customHeight="1">
      <x:c r="A7" s="1" t="str">
        <x:v>Startup order</x:v>
      </x:c>
      <x:c r="B7" s="4" t="str">
        <x:v>Before 4 V</x:v>
      </x:c>
      <x:c r="C7" s="1" t="str"/>
      <x:c r="D7" s="1" t="str">
        <x:v>Shared camera rails</x:v>
      </x:c>
    </x:row>
    <x:row r="8" ht="22" customHeight="1">
      <x:c r="A8" s="1"/>
      <x:c r="B8" s="4"/>
      <x:c r="C8" s="1"/>
      <x:c r="D8" s="1"/>
    </x:row>
    <x:row r="9" ht="22" customHeight="1">
      <x:c r="A9" s="1"/>
      <x:c r="B9" s="4"/>
      <x:c r="C9" s="1"/>
      <x:c r="D9" s="1"/>
    </x:row>
    <x:row r="10" ht="22" customHeight="1">
      <x:c r="A10" s="1"/>
      <x:c r="B10" s="4"/>
      <x:c r="C10" s="1"/>
      <x:c r="D10" s="1"/>
    </x:row>
    <x:row r="11" ht="22" customHeight="1">
      <x:c r="A11" s="8" t="str">
        <x:v>Electrical Parameters</x:v>
      </x:c>
      <x:c r="B11" s="9"/>
      <x:c r="C11" s="8"/>
      <x:c r="D11" s="8"/>
    </x:row>
    <x:row r="12" ht="22" customHeight="1">
      <x:c r="A12" s="1" t="str">
        <x:v>Parameter</x:v>
      </x:c>
      <x:c r="B12" s="4" t="str">
        <x:v>Value</x:v>
      </x:c>
      <x:c r="C12" s="1" t="str">
        <x:v>Unit</x:v>
      </x:c>
      <x:c r="D12" s="1" t="str">
        <x:v>Note</x:v>
      </x:c>
    </x:row>
    <x:row r="13" ht="22" customHeight="1">
      <x:c r="A13" s="1" t="str">
        <x:v>IC output current rating</x:v>
      </x:c>
      <x:c r="B13" s="4" t="n">
        <x:v>0.5</x:v>
      </x:c>
      <x:c r="C13" s="1" t="str">
        <x:v>A</x:v>
      </x:c>
      <x:c r="D13" s="1" t="str"/>
    </x:row>
    <x:row r="14" ht="22" customHeight="1">
      <x:c r="A14" s="1" t="str">
        <x:v>Guide current factor</x:v>
      </x:c>
      <x:c r="B14" s="6" t="n">
        <x:v>0.7</x:v>
      </x:c>
      <x:c r="C14" s="1" t="str"/>
      <x:c r="D14" s="1" t="str">
        <x:v>SD-100001</x:v>
      </x:c>
    </x:row>
    <x:row r="15" ht="22" customHeight="1">
      <x:c r="A15" s="1" t="str">
        <x:v>Feedback reference</x:v>
      </x:c>
      <x:c r="B15" s="4" t="n">
        <x:v>0.55</x:v>
      </x:c>
      <x:c r="C15" s="1" t="str">
        <x:v>V</x:v>
      </x:c>
      <x:c r="D15" s="1" t="str">
        <x:v>Nominal at 25 C</x:v>
      </x:c>
    </x:row>
    <x:row r="16" ht="22" customHeight="1">
      <x:c r="A16" s="1" t="str">
        <x:v>Datasheet theta JA</x:v>
      </x:c>
      <x:c r="B16" s="3" t="n">
        <x:v>80.3</x:v>
      </x:c>
      <x:c r="C16" s="1" t="str">
        <x:v>C/W</x:v>
      </x:c>
      <x:c r="D16" s="1" t="str">
        <x:v>JEDEC metric, DRV package</x:v>
      </x:c>
    </x:row>
    <x:row r="17" ht="22" customHeight="1">
      <x:c r="A17" s="1" t="str">
        <x:v>Ambient temperature</x:v>
      </x:c>
      <x:c r="B17" s="3" t="n">
        <x:v>50</x:v>
      </x:c>
      <x:c r="C17" s="1" t="str">
        <x:v>C</x:v>
      </x:c>
      <x:c r="D17" s="1" t="str">
        <x:v>Planning assumption</x:v>
      </x:c>
    </x:row>
    <x:row r="18" ht="22" customHeight="1">
      <x:c r="A18" s="1"/>
      <x:c r="B18" s="4"/>
      <x:c r="C18" s="1"/>
      <x:c r="D18" s="1"/>
    </x:row>
    <x:row r="19" ht="22" customHeight="1">
      <x:c r="A19" s="1"/>
      <x:c r="B19" s="4"/>
      <x:c r="C19" s="1"/>
      <x:c r="D19" s="1"/>
    </x:row>
    <x:row r="20" ht="22" customHeight="1">
      <x:c r="A20" s="1"/>
      <x:c r="B20" s="4"/>
      <x:c r="C20" s="1"/>
      <x:c r="D20" s="1"/>
    </x:row>
    <x:row r="21" ht="22" customHeight="1">
      <x:c r="A21" s="8" t="str">
        <x:v>Design Calculations</x:v>
      </x:c>
      <x:c r="B21" s="9"/>
      <x:c r="C21" s="8"/>
      <x:c r="D21" s="8"/>
    </x:row>
    <x:row r="22" ht="22" customHeight="1">
      <x:c r="A22" s="1" t="str">
        <x:v>Parameter</x:v>
      </x:c>
      <x:c r="B22" s="4" t="str">
        <x:v>Value</x:v>
      </x:c>
      <x:c r="C22" s="1" t="str">
        <x:v>Unit</x:v>
      </x:c>
      <x:c r="D22" s="1" t="str">
        <x:v>Note</x:v>
      </x:c>
    </x:row>
    <x:row r="23" ht="22" customHeight="1">
      <x:c r="A23" s="1" t="str">
        <x:v>Guide current ceiling</x:v>
      </x:c>
      <x:c r="B23" s="4" t="n">
        <x:f>B13*B14</x:f>
        <x:v>0.35</x:v>
      </x:c>
      <x:c r="C23" s="1" t="str">
        <x:v>A</x:v>
      </x:c>
      <x:c r="D23" s="1" t="str"/>
    </x:row>
    <x:row r="24" ht="22" customHeight="1">
      <x:c r="A24" s="1" t="str">
        <x:v>Unused guide allowance</x:v>
      </x:c>
      <x:c r="B24" s="4" t="n">
        <x:f>B23-B6</x:f>
        <x:v>0.04999999999999999</x:v>
      </x:c>
      <x:c r="C24" s="1" t="str">
        <x:v>A</x:v>
      </x:c>
      <x:c r="D24" s="1" t="str"/>
    </x:row>
    <x:row r="25" ht="22" customHeight="1">
      <x:c r="A25" s="1" t="str">
        <x:v>Nominal voltage headroom</x:v>
      </x:c>
      <x:c r="B25" s="4" t="n">
        <x:f>B3-B4</x:f>
        <x:v>1.4999999999999998</x:v>
      </x:c>
      <x:c r="C25" s="1" t="str">
        <x:v>V</x:v>
      </x:c>
      <x:c r="D25" s="1" t="str">
        <x:v>Minimum input / maximum output still to check</x:v>
      </x:c>
    </x:row>
    <x:row r="26" ht="22" customHeight="1">
      <x:c r="A26" s="1" t="str">
        <x:v>Average dissipation</x:v>
      </x:c>
      <x:c r="B26" s="4" t="n">
        <x:f>(B3-B4)*B5</x:f>
        <x:v>0.291</x:v>
      </x:c>
      <x:c r="C26" s="1" t="str">
        <x:v>W</x:v>
      </x:c>
      <x:c r="D26" s="1" t="str">
        <x:v>Quiescent loss covered by battery overhead</x:v>
      </x:c>
    </x:row>
    <x:row r="27" ht="22" customHeight="1">
      <x:c r="A27" s="1" t="str">
        <x:v>Design dissipation</x:v>
      </x:c>
      <x:c r="B27" s="4" t="n">
        <x:f>(B3-B4)*B6</x:f>
        <x:v>0.4499999999999999</x:v>
      </x:c>
      <x:c r="C27" s="1" t="str">
        <x:v>W</x:v>
      </x:c>
      <x:c r="D27" s="1" t="str"/>
    </x:row>
    <x:row r="28" ht="22" customHeight="1">
      <x:c r="A28" s="1" t="str">
        <x:v>Average input power</x:v>
      </x:c>
      <x:c r="B28" s="4" t="n">
        <x:f>B3*B5</x:f>
        <x:v>0.6402</x:v>
      </x:c>
      <x:c r="C28" s="1" t="str">
        <x:v>W</x:v>
      </x:c>
      <x:c r="D28" s="1" t="str"/>
    </x:row>
    <x:row r="29" ht="22" customHeight="1">
      <x:c r="A29" s="1" t="str">
        <x:v>Design input power</x:v>
      </x:c>
      <x:c r="B29" s="4" t="n">
        <x:f>B3*B6</x:f>
        <x:v>0.9899999999999999</x:v>
      </x:c>
      <x:c r="C29" s="1" t="str">
        <x:v>W</x:v>
      </x:c>
      <x:c r="D29" s="1" t="str"/>
    </x:row>
    <x:row r="30" ht="22" customHeight="1">
      <x:c r="A30" s="1" t="str">
        <x:v>Tj using datasheet theta JA</x:v>
      </x:c>
      <x:c r="B30" s="3" t="n">
        <x:f>B17+B27*B16</x:f>
        <x:v>86.13499999999999</x:v>
      </x:c>
      <x:c r="C30" s="1" t="str">
        <x:v>C</x:v>
      </x:c>
      <x:c r="D30" s="1" t="str">
        <x:v>JEDEC estimate; PCB thermal model TBD</x:v>
      </x:c>
    </x:row>
    <x:row r="31" ht="22" customHeight="1">
      <x:c r="A31" s="1"/>
      <x:c r="B31" s="4"/>
      <x:c r="C31" s="1"/>
      <x:c r="D31" s="1"/>
    </x:row>
    <x:row r="32" ht="22" customHeight="1">
      <x:c r="A32" s="1"/>
      <x:c r="B32" s="4"/>
      <x:c r="C32" s="1"/>
      <x:c r="D32" s="1"/>
    </x:row>
    <x:row r="33" ht="22" customHeight="1">
      <x:c r="A33" s="8" t="str">
        <x:v>Feedback and Output Capacitor</x:v>
      </x:c>
      <x:c r="B33" s="9"/>
      <x:c r="C33" s="8"/>
      <x:c r="D33" s="8"/>
    </x:row>
    <x:row r="34" ht="22" customHeight="1">
      <x:c r="A34" s="1" t="str">
        <x:v>Parameter</x:v>
      </x:c>
      <x:c r="B34" s="4" t="str">
        <x:v>Value</x:v>
      </x:c>
      <x:c r="C34" s="1" t="str">
        <x:v>Unit</x:v>
      </x:c>
      <x:c r="D34" s="1" t="str">
        <x:v>Note</x:v>
      </x:c>
    </x:row>
    <x:row r="35" ht="22" customHeight="1">
      <x:c r="A35" s="1" t="str">
        <x:v>R bottom, chosen</x:v>
      </x:c>
      <x:c r="B35" s="4"/>
      <x:c r="C35" s="1" t="str">
        <x:v>ohm</x:v>
      </x:c>
      <x:c r="D35" s="1" t="str">
        <x:v>FB to ground</x:v>
      </x:c>
    </x:row>
    <x:row r="36" ht="22" customHeight="1">
      <x:c r="A36" s="1" t="str">
        <x:v>R top, calculated</x:v>
      </x:c>
      <x:c r="B36" s="4" t="str">
        <x:f>IF(ISNUMBER(B35),B35*(B4/B15-1),"")</x:f>
      </x:c>
      <x:c r="C36" s="1" t="str">
        <x:v>ohm</x:v>
      </x:c>
      <x:c r="D36" s="1" t="str">
        <x:v>Output to FB</x:v>
      </x:c>
    </x:row>
    <x:row r="37" ht="22" customHeight="1">
      <x:c r="A37" s="1" t="str">
        <x:v>R top, chosen</x:v>
      </x:c>
      <x:c r="B37" s="4"/>
      <x:c r="C37" s="1" t="str">
        <x:v>ohm</x:v>
      </x:c>
      <x:c r="D37" s="1" t="str">
        <x:v>TBD</x:v>
      </x:c>
    </x:row>
    <x:row r="38" ht="22" customHeight="1">
      <x:c r="A38" s="1" t="str">
        <x:v>Output with chosen divider</x:v>
      </x:c>
      <x:c r="B38" s="4" t="str">
        <x:f>IF(AND(COUNT(B35,B37)=2,B35&gt;0),B15*(1+B37/B35),"")</x:f>
      </x:c>
      <x:c r="C38" s="1" t="str">
        <x:v>V</x:v>
      </x:c>
      <x:c r="D38" s="1" t="str">
        <x:v>Nominal; tolerance calculation still needed</x:v>
      </x:c>
    </x:row>
    <x:row r="39" ht="22" customHeight="1">
      <x:c r="A39" s="1" t="str">
        <x:v>Output capacitor part</x:v>
      </x:c>
      <x:c r="B39" s="4"/>
      <x:c r="C39" s="1" t="str"/>
      <x:c r="D39" s="1" t="str">
        <x:v>TBD</x:v>
      </x:c>
    </x:row>
    <x:row r="40" ht="22" customHeight="1">
      <x:c r="A40" s="1" t="str">
        <x:v>Output capacitance, effective</x:v>
      </x:c>
      <x:c r="B40" s="4"/>
      <x:c r="C40" s="1" t="str">
        <x:v>uF</x:v>
      </x:c>
      <x:c r="D40" s="1" t="str">
        <x:v>Use DC-bias curve, tolerance and temperature</x:v>
      </x:c>
    </x:row>
    <x:row r="41" ht="22" customHeight="1">
      <x:c r="A41" s="1"/>
      <x:c r="B41" s="1"/>
      <x:c r="C41" s="1"/>
      <x:c r="D41" s="1"/>
    </x:row>
    <x:row r="42" ht="22" customHeight="1">
      <x:c r="A42" s="1"/>
      <x:c r="B42" s="1"/>
      <x:c r="C42" s="1"/>
      <x:c r="D42" s="1"/>
    </x:row>
    <x:row r="43" ht="22" customHeight="1">
      <x:c r="A43" s="1"/>
      <x:c r="B43" s="1"/>
      <x:c r="C43" s="1"/>
      <x:c r="D43" s="1"/>
    </x:row>
    <x:row r="44" ht="22" customHeight="1">
      <x:c r="A44" s="1"/>
      <x:c r="B44" s="1"/>
      <x:c r="C44" s="1"/>
      <x:c r="D44" s="1"/>
    </x:row>
    <x:row r="45" ht="22" customHeight="1">
      <x:c r="A45" s="1"/>
      <x:c r="B45" s="1"/>
      <x:c r="C45" s="1"/>
      <x:c r="D45" s="1"/>
    </x:row>
    <x:row r="46" ht="22" customHeight="1">
      <x:c r="A46" s="1"/>
      <x:c r="B46" s="1"/>
      <x:c r="C46" s="1"/>
      <x:c r="D46" s="1"/>
    </x:row>
    <x:row r="47" ht="22" customHeight="1">
      <x:c r="A47" s="1"/>
      <x:c r="B47" s="1"/>
      <x:c r="C47" s="1"/>
      <x:c r="D47" s="1"/>
    </x:row>
    <x:row r="48" ht="22" customHeight="1">
      <x:c r="A48" s="1"/>
      <x:c r="B48" s="1"/>
      <x:c r="C48" s="1"/>
      <x:c r="D48" s="1"/>
    </x:row>
    <x:row r="49" ht="22" customHeight="1">
      <x:c r="A49" s="1"/>
      <x:c r="B49" s="1"/>
      <x:c r="C49" s="1"/>
      <x:c r="D49" s="1"/>
    </x:row>
    <x:row r="50" ht="22" customHeight="1">
      <x:c r="A50" s="1"/>
      <x:c r="B50" s="1"/>
      <x:c r="C50" s="1"/>
      <x:c r="D50" s="1"/>
    </x:row>
    <x:row r="51" ht="22" customHeight="1">
      <x:c r="A51" s="1"/>
      <x:c r="B51" s="1"/>
      <x:c r="C51" s="1"/>
      <x:c r="D51" s="1"/>
    </x:row>
    <x:row r="52" ht="22" customHeight="1">
      <x:c r="A52" s="1"/>
      <x:c r="B52" s="1"/>
      <x:c r="C52" s="1"/>
      <x:c r="D52" s="1"/>
    </x:row>
    <x:row r="53" ht="22" customHeight="1">
      <x:c r="A53" s="1"/>
      <x:c r="B53" s="1"/>
      <x:c r="C53" s="1"/>
      <x:c r="D53" s="1"/>
    </x:row>
    <x:row r="54" ht="22" customHeight="1">
      <x:c r="A54" s="1"/>
      <x:c r="B54" s="1"/>
      <x:c r="C54" s="1"/>
      <x:c r="D54" s="1"/>
    </x:row>
    <x:row r="55" ht="22" customHeight="1">
      <x:c r="A55" s="1"/>
      <x:c r="B55" s="1"/>
      <x:c r="C55" s="1"/>
      <x:c r="D55" s="1"/>
    </x:row>
    <x:row r="56" ht="22" customHeight="1">
      <x:c r="A56" s="1"/>
      <x:c r="B56" s="1"/>
      <x:c r="C56" s="1"/>
      <x:c r="D56" s="1"/>
    </x:row>
    <x:row r="57" ht="22" customHeight="1">
      <x:c r="A57" s="1"/>
      <x:c r="B57" s="1"/>
      <x:c r="C57" s="1"/>
      <x:c r="D57" s="1"/>
    </x:row>
    <x:row r="58" ht="22" customHeight="1">
      <x:c r="A58" s="1"/>
      <x:c r="B58" s="1"/>
      <x:c r="C58" s="1"/>
      <x:c r="D58" s="1"/>
    </x:row>
    <x:row r="59" ht="22" customHeight="1">
      <x:c r="A59" s="1"/>
      <x:c r="B59" s="1"/>
      <x:c r="C59" s="1"/>
      <x:c r="D59" s="1"/>
    </x:row>
  </x:sheetData>
  <x:mergeCells>
    <x:mergeCell ref="A1:D1"/>
    <x:mergeCell ref="A11:D11"/>
    <x:mergeCell ref="A21:D21"/>
    <x:mergeCell ref="A33:D33"/>
  </x:mergeCells>
  <x:pageMargins left="0.7" right="0.7" top="0.75" bottom="0.75" header="0.3" footer="0.3"/>
  <x:legacyDrawing xmlns:r="http://schemas.openxmlformats.org/officeDocument/2006/relationships" r:id="Rd8a4056d625840d3"/>
</x:worksheet>
</file>

<file path=xl/worksheets/sheet6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30" hidden="0" customWidth="1"/>
    <x:col min="2" max="2" width="15" hidden="0" customWidth="1"/>
    <x:col min="3" max="3" width="9" hidden="0" customWidth="1"/>
    <x:col min="4" max="4" width="47" hidden="0" customWidth="1"/>
  </x:cols>
  <x:sheetData>
    <x:row r="1" ht="22" customHeight="1">
      <x:c r="A1" s="2" t="str">
        <x:v>Battery</x:v>
      </x:c>
      <x:c r="B1" s="1"/>
      <x:c r="C1" s="1"/>
      <x:c r="D1" s="1"/>
    </x:row>
    <x:row r="2" ht="22" customHeight="1">
      <x:c r="A2" s="1"/>
      <x:c r="B2" s="1"/>
      <x:c r="C2" s="1"/>
      <x:c r="D2" s="1"/>
    </x:row>
    <x:row r="3" ht="22" customHeight="1">
      <x:c r="A3" s="1"/>
      <x:c r="B3" s="1"/>
      <x:c r="C3" s="1"/>
      <x:c r="D3" s="1"/>
    </x:row>
    <x:row r="4" ht="22" customHeight="1">
      <x:c r="A4" s="2" t="str">
        <x:v>Input</x:v>
      </x:c>
      <x:c r="B4" s="2" t="str">
        <x:v>Value</x:v>
      </x:c>
      <x:c r="C4" s="2" t="str">
        <x:v>Unit</x:v>
      </x:c>
      <x:c r="D4" s="2" t="str">
        <x:v>Basis</x:v>
      </x:c>
    </x:row>
    <x:row r="5" ht="22" customHeight="1">
      <x:c r="A5" s="1" t="str">
        <x:v>Series cells</x:v>
      </x:c>
      <x:c r="B5" s="10" t="n">
        <x:v>3</x:v>
      </x:c>
      <x:c r="C5" s="1"/>
      <x:c r="D5" s="1" t="str">
        <x:v>3S only</x:v>
      </x:c>
    </x:row>
    <x:row r="6" ht="22" customHeight="1">
      <x:c r="A6" s="1" t="str">
        <x:v>Nominal cell voltage</x:v>
      </x:c>
      <x:c r="B6" s="5" t="n">
        <x:v>3.6</x:v>
      </x:c>
      <x:c r="C6" s="1" t="str">
        <x:v>V</x:v>
      </x:c>
      <x:c r="D6" s="1" t="str">
        <x:v>Li-ion assumption; cell TBD</x:v>
      </x:c>
    </x:row>
    <x:row r="7" ht="22" customHeight="1">
      <x:c r="A7" s="1" t="str">
        <x:v>Full cell voltage</x:v>
      </x:c>
      <x:c r="B7" s="5" t="n">
        <x:v>4.2</x:v>
      </x:c>
      <x:c r="C7" s="1" t="str">
        <x:v>V</x:v>
      </x:c>
      <x:c r="D7" s="1" t="str">
        <x:v>Li-ion assumption; cell TBD</x:v>
      </x:c>
    </x:row>
    <x:row r="8" ht="22" customHeight="1">
      <x:c r="A8" s="1" t="str">
        <x:v>Low pack voltage</x:v>
      </x:c>
      <x:c r="B8" s="5" t="n">
        <x:v>9</x:v>
      </x:c>
      <x:c r="C8" s="1" t="str">
        <x:v>V</x:v>
      </x:c>
      <x:c r="D8" s="1" t="str">
        <x:v>Calculation point, not cutoff</x:v>
      </x:c>
    </x:row>
    <x:row r="9" ht="22" customHeight="1">
      <x:c r="A9" s="1" t="str">
        <x:v>Pack capacity</x:v>
      </x:c>
      <x:c r="B9" s="5" t="n">
        <x:v>5</x:v>
      </x:c>
      <x:c r="C9" s="1" t="str">
        <x:v>Ah</x:v>
      </x:c>
      <x:c r="D9" s="1" t="str">
        <x:v>Candidate, not selected</x:v>
      </x:c>
    </x:row>
    <x:row r="10" ht="22" customHeight="1">
      <x:c r="A10" s="1" t="str">
        <x:v>Usable energy fraction</x:v>
      </x:c>
      <x:c r="B10" s="6" t="n">
        <x:v>0.8</x:v>
      </x:c>
      <x:c r="C10" s="1"/>
      <x:c r="D10" s="1" t="str">
        <x:v>Assumed cold / aging / cutoff allowance</x:v>
      </x:c>
    </x:row>
    <x:row r="11" ht="22" customHeight="1">
      <x:c r="A11" s="1" t="str">
        <x:v>Required runtime</x:v>
      </x:c>
      <x:c r="B11" s="5" t="n">
        <x:v>1</x:v>
      </x:c>
      <x:c r="C11" s="1" t="str">
        <x:v>h</x:v>
      </x:c>
      <x:c r="D11" s="1" t="str">
        <x:v>Including launch-pad wait</x:v>
      </x:c>
    </x:row>
    <x:row r="12" ht="22" customHeight="1">
      <x:c r="A12" s="1" t="str">
        <x:v>Input / quiescent overhead</x:v>
      </x:c>
      <x:c r="B12" s="5" t="n">
        <x:v>0.2</x:v>
      </x:c>
      <x:c r="C12" s="1" t="str">
        <x:v>W</x:v>
      </x:c>
      <x:c r="D12" s="1" t="str">
        <x:v>Assumed; wiring, protection and IQ</x:v>
      </x:c>
    </x:row>
    <x:row r="13" ht="22" customHeight="1">
      <x:c r="A13" s="1"/>
      <x:c r="B13" s="5"/>
      <x:c r="C13" s="1"/>
      <x:c r="D13" s="1"/>
    </x:row>
    <x:row r="14" ht="22" customHeight="1">
      <x:c r="A14" s="1"/>
      <x:c r="B14" s="5"/>
      <x:c r="C14" s="1"/>
      <x:c r="D14" s="1"/>
    </x:row>
    <x:row r="15" ht="22" customHeight="1">
      <x:c r="A15" s="1" t="str">
        <x:v>Nominal pack voltage</x:v>
      </x:c>
      <x:c r="B15" s="5" t="n">
        <x:f>IF(COUNT(B5:B6)=2,B5*B6,NA())</x:f>
        <x:v>10.8</x:v>
      </x:c>
      <x:c r="C15" s="1" t="str">
        <x:v>V</x:v>
      </x:c>
      <x:c r="D15" s="1"/>
    </x:row>
    <x:row r="16" ht="22" customHeight="1">
      <x:c r="A16" s="1" t="str">
        <x:v>Full pack voltage</x:v>
      </x:c>
      <x:c r="B16" s="5" t="n">
        <x:f>IF(COUNT(B5,B7)=2,B5*B7,NA())</x:f>
        <x:v>12.600000000000001</x:v>
      </x:c>
      <x:c r="C16" s="1" t="str">
        <x:v>V</x:v>
      </x:c>
      <x:c r="D16" s="1"/>
    </x:row>
    <x:row r="17" ht="22" customHeight="1">
      <x:c r="A17" s="1" t="str">
        <x:v>Nominal pack energy</x:v>
      </x:c>
      <x:c r="B17" s="5" t="n">
        <x:f>IF(ISNUMBER(B9),B15*B9,NA())</x:f>
        <x:v>54</x:v>
      </x:c>
      <x:c r="C17" s="1" t="str">
        <x:v>Wh</x:v>
      </x:c>
      <x:c r="D17" s="1"/>
    </x:row>
    <x:row r="18" ht="22" customHeight="1">
      <x:c r="A18" s="1" t="str">
        <x:v>Usable pack energy</x:v>
      </x:c>
      <x:c r="B18" s="5" t="n">
        <x:f>IF(AND(ISNUMBER(B10),B10&gt;0,B10&lt;=1),B17*B10,NA())</x:f>
        <x:v>43.2</x:v>
      </x:c>
      <x:c r="C18" s="1" t="str">
        <x:v>Wh</x:v>
      </x:c>
      <x:c r="D18" s="1"/>
    </x:row>
    <x:row r="19" ht="22" customHeight="1">
      <x:c r="A19" s="1"/>
      <x:c r="B19" s="5"/>
      <x:c r="C19" s="1"/>
      <x:c r="D19" s="1"/>
    </x:row>
    <x:row r="20" ht="22" customHeight="1">
      <x:c r="A20" s="1"/>
      <x:c r="B20" s="5"/>
      <x:c r="C20" s="1"/>
      <x:c r="D20" s="1"/>
    </x:row>
    <x:row r="21" ht="22" customHeight="1">
      <x:c r="A21" s="1" t="str">
        <x:v>Average battery draw</x:v>
      </x:c>
      <x:c r="B21" s="5" t="n">
        <x:f>IF(ISNUMBER(B12),'LM61495 Main 5V'!B38+'TPS62933F RF 5V'!B38+B12,NA())</x:f>
        <x:v>30.20333333333333</x:v>
      </x:c>
      <x:c r="C21" s="1" t="str">
        <x:v>W</x:v>
      </x:c>
      <x:c r="D21" s="1"/>
    </x:row>
    <x:row r="22" ht="22" customHeight="1">
      <x:c r="A22" s="1" t="str">
        <x:v>Design battery draw</x:v>
      </x:c>
      <x:c r="B22" s="5" t="n">
        <x:f>IF(ISNUMBER(B12),'LM61495 Main 5V'!B39+'TPS62933F RF 5V'!B39+B12,NA())</x:f>
        <x:v>46.1925925925926</x:v>
      </x:c>
      <x:c r="C22" s="1" t="str">
        <x:v>W</x:v>
      </x:c>
      <x:c r="D22" s="1"/>
    </x:row>
    <x:row r="23" ht="22" customHeight="1">
      <x:c r="A23" s="1" t="str">
        <x:v>Estimated runtime</x:v>
      </x:c>
      <x:c r="B23" s="5" t="n">
        <x:f>IF(B21&gt;0,B18/B21,NA())</x:f>
        <x:v>1.4303057057719901</x:v>
      </x:c>
      <x:c r="C23" s="1" t="str">
        <x:v>h</x:v>
      </x:c>
      <x:c r="D23" s="1"/>
    </x:row>
    <x:row r="24" ht="22" customHeight="1">
      <x:c r="A24" s="2" t="str">
        <x:v>Estimated runtime</x:v>
      </x:c>
      <x:c r="B24" s="7" t="n">
        <x:f>B23*60</x:f>
        <x:v>85.81834234631941</x:v>
      </x:c>
      <x:c r="C24" s="2" t="str">
        <x:v>min</x:v>
      </x:c>
      <x:c r="D24" s="1"/>
    </x:row>
    <x:row r="25" ht="22" customHeight="1">
      <x:c r="A25" s="2" t="str">
        <x:v>Capacity for required time</x:v>
      </x:c>
      <x:c r="B25" s="7" t="n">
        <x:f>IF(AND(ISNUMBER(B11),B15&gt;0,B10&gt;0,B10&lt;=1),B21*B11/(B15*B10),NA())</x:f>
        <x:v>3.4957561728395055</x:v>
      </x:c>
      <x:c r="C25" s="2" t="str">
        <x:v>Ah</x:v>
      </x:c>
      <x:c r="D25" s="1"/>
    </x:row>
    <x:row r="26" ht="22" customHeight="1">
      <x:c r="A26" s="1" t="str">
        <x:v>Average current at low V</x:v>
      </x:c>
      <x:c r="B26" s="5" t="n">
        <x:f>IF(AND(ISNUMBER(B8),B8&gt;0),B21/B8,NA())</x:f>
        <x:v>3.3559259259259253</x:v>
      </x:c>
      <x:c r="C26" s="1" t="str">
        <x:v>A</x:v>
      </x:c>
      <x:c r="D26" s="1"/>
    </x:row>
    <x:row r="27" ht="22" customHeight="1">
      <x:c r="A27" s="1" t="str">
        <x:v>Design current at low V</x:v>
      </x:c>
      <x:c r="B27" s="5" t="n">
        <x:f>IF(AND(ISNUMBER(B8),B8&gt;0),B22/B8,NA())</x:f>
        <x:v>5.132510288065844</x:v>
      </x:c>
      <x:c r="C27" s="1" t="str">
        <x:v>A</x:v>
      </x:c>
      <x:c r="D27" s="1"/>
    </x:row>
    <x:row r="28" ht="22" customHeight="1">
      <x:c r="A28" s="1"/>
      <x:c r="B28" s="1"/>
      <x:c r="C28" s="1"/>
      <x:c r="D28" s="1"/>
    </x:row>
    <x:row r="29" ht="22" customHeight="1">
      <x:c r="A29" s="1"/>
      <x:c r="B29" s="1"/>
      <x:c r="C29" s="1"/>
      <x:c r="D29" s="1"/>
    </x:row>
    <x:row r="30" ht="22" customHeight="1">
      <x:c r="A30" s="1"/>
      <x:c r="B30" s="1"/>
      <x:c r="C30" s="1"/>
      <x:c r="D30" s="1"/>
    </x:row>
    <x:row r="31" ht="22" customHeight="1">
      <x:c r="A31" s="1"/>
      <x:c r="B31" s="1"/>
      <x:c r="C31" s="1"/>
      <x:c r="D31" s="1"/>
    </x:row>
    <x:row r="32" ht="22" customHeight="1">
      <x:c r="A32" s="1"/>
      <x:c r="B32" s="1"/>
      <x:c r="C32" s="1"/>
      <x:c r="D32" s="1"/>
    </x:row>
  </x:sheetData>
  <x:pageMargins left="0.7" right="0.7" top="0.75" bottom="0.75" header="0.3" footer="0.3"/>
</x:worksheet>
</file>