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6b7935321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 budget" sheetId="1" r:id="R53757c498df344ff"/>
    <x:sheet xmlns:r="http://schemas.openxmlformats.org/officeDocument/2006/relationships" name="Transport" sheetId="2" r:id="Ra91bd36493634894"/>
  </x:sheets>
</x:workbook>
</file>

<file path=xl/comments1.xml><?xml version="1.0" encoding="utf-8"?>
<x:comments xmlns:x="http://schemas.openxmlformats.org/spreadsheetml/2006/main">
  <x:authors>
    <x:author/>
  </x:authors>
  <x:commentList>
    <x:comment ref="C18" authorId="0">
      <x:text>
        <x:r>
          <x:t>Mini-Circuits LFCN-1500+, DC-1500 MHz passband, 1 dB maximum insertion loss at 25 C. https://www.minicircuits.com/pdfs/LFCN-1500%2B.pdf</x:t>
        </x:r>
      </x:text>
    </x:comment>
    <x:comment ref="C17" authorId="0">
      <x:text>
        <x:r>
          <x:t>Project target, not measured GRF5115 modulated output. Reference tuning: https://www.guerrilla-rf.com/includes/prodFiles/5115/GRF5115%201200-1400%20MHz.pdf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C17" authorId="0">
      <x:text>
        <x:r>
          <x:t>ETSI EN 302 307-1 V1.4.1, normal-frame coding and physical framing. https://www.etsi.org/deliver/etsi_en/302300_302399/30230701/01.04.01_60/en_30230701v010401p.pdf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%"/>
    <x:numFmt numFmtId="203" formatCode="0.0%"/>
  </x:numFmts>
  <x:fonts count="7">
    <x:font>
      <x:sz val="11"/>
      <x:name val="Carlito"/>
    </x:font>
    <x:font>
      <x:sz val="11"/>
      <x:color rgb="FF222222"/>
      <x:name val="Arial"/>
    </x:font>
    <x:font>
      <x:sz val="16"/>
      <x:color rgb="FF222222"/>
      <x:name val="Arial"/>
    </x:font>
    <x:font>
      <x:b/>
      <x:sz val="16"/>
      <x:color rgb="FF222222"/>
      <x:name val="Arial"/>
    </x:font>
    <x:font>
      <x:sz val="11"/>
      <x:color rgb="FF555555"/>
      <x:name val="Arial"/>
    </x:font>
    <x:font>
      <x:b/>
      <x:sz val="11"/>
      <x:color rgb="FF222222"/>
      <x:name val="Arial"/>
    </x:font>
    <x:font>
      <x:b/>
      <x:sz val="14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EEE6"/>
      </x:patternFill>
    </x:fill>
    <x:fill>
      <x:patternFill patternType="solid">
        <x:fgColor rgb="FFFFF2CC"/>
      </x:patternFill>
    </x:fill>
    <x:fill>
      <x:patternFill patternType="solid">
        <x:fgColor rgb="FFEEEEEE"/>
      </x:patternFill>
    </x:fill>
  </x:fills>
  <x:borders count="2">
    <x:border/>
    <x:border>
      <x:bottom style="thin">
        <x:color rgb="FFAAAA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B42318"/>
      </x:font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361a0322a43cf" /><Relationship Type="http://schemas.openxmlformats.org/officeDocument/2006/relationships/theme" Target="/xl/theme/theme1.xml" Id="R105c0999bcfe4567" /><Relationship Type="http://schemas.openxmlformats.org/officeDocument/2006/relationships/sharedStrings" Target="/xl/sharedStrings.xml" Id="Rf7eb3faed9654679" /><Relationship Type="http://schemas.openxmlformats.org/officeDocument/2006/relationships/worksheet" Target="/xl/worksheets/sheet1.xml" Id="R53757c498df344ff" /><Relationship Type="http://schemas.openxmlformats.org/officeDocument/2006/relationships/worksheet" Target="/xl/worksheets/sheet2.xml" Id="Ra91bd3649363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814b27201e6446e" /><Relationship Type="http://schemas.openxmlformats.org/officeDocument/2006/relationships/vmlDrawing" Target="/xl/drawings/vmldrawing.vml" Id="Ree6b1e8702ed47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dcfab249e2b4a76" /><Relationship Type="http://schemas.openxmlformats.org/officeDocument/2006/relationships/vmlDrawing" Target="/xl/drawings/vmldrawing2.vml" Id="Rd693c753c6f04ba0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36" hidden="0" customWidth="1"/>
    <x:col min="3" max="3" width="15" hidden="0" customWidth="1"/>
    <x:col min="4" max="4" width="13" hidden="0" customWidth="1"/>
    <x:col min="5" max="5" width="3" hidden="0" customWidth="1"/>
    <x:col min="6" max="6" width="39" hidden="0" customWidth="1"/>
  </x:cols>
  <x:sheetData>
    <x:row r="1" ht="20" customHeight="1">
      <x:c r="A1" s="4"/>
      <x:c r="B1" s="4"/>
      <x:c r="C1" s="5"/>
      <x:c r="D1" s="4"/>
      <x:c r="E1" s="4"/>
      <x:c r="F1" s="4"/>
    </x:row>
    <x:row r="2" ht="20" customHeight="1">
      <x:c r="A2" s="4"/>
      <x:c r="B2" s="24" t="str">
        <x:v>PigeonVision link budget</x:v>
      </x:c>
      <x:c r="C2" s="9"/>
      <x:c r="D2" s="8"/>
      <x:c r="E2" s="8"/>
      <x:c r="F2" s="12"/>
    </x:row>
    <x:row r="3" ht="20" customHeight="1">
      <x:c r="A3" s="4"/>
      <x:c r="B3" s="10"/>
      <x:c r="C3" s="11"/>
      <x:c r="D3" s="10"/>
      <x:c r="E3" s="10"/>
      <x:c r="F3" s="10"/>
    </x:row>
    <x:row r="4" ht="20" customHeight="1">
      <x:c r="A4" s="4"/>
      <x:c r="B4" s="25" t="str">
        <x:v>Result</x:v>
      </x:c>
      <x:c r="C4" s="26"/>
      <x:c r="D4" s="25"/>
      <x:c r="E4" s="4"/>
      <x:c r="F4" s="4"/>
    </x:row>
    <x:row r="5" ht="20" customHeight="1">
      <x:c r="A5" s="4"/>
      <x:c r="B5" s="4" t="str">
        <x:v>Received power</x:v>
      </x:c>
      <x:c r="C5" s="5" t="n">
        <x:f>C39</x:f>
        <x:v>-69.587254017627</x:v>
      </x:c>
      <x:c r="D5" s="4" t="str">
        <x:v>dBm</x:v>
      </x:c>
      <x:c r="E5" s="4"/>
      <x:c r="F5" s="4"/>
    </x:row>
    <x:row r="6" ht="20" customHeight="1">
      <x:c r="A6" s="4"/>
      <x:c r="B6" s="4" t="str">
        <x:v>Assumed receiver threshold</x:v>
      </x:c>
      <x:c r="C6" s="5" t="n">
        <x:f>C43</x:f>
        <x:v>-88.1524748638324</x:v>
      </x:c>
      <x:c r="D6" s="4" t="str">
        <x:v>dBm</x:v>
      </x:c>
      <x:c r="E6" s="4"/>
      <x:c r="F6" s="4" t="str">
        <x:v>Assumed, not measured.</x:v>
      </x:c>
    </x:row>
    <x:row r="7" ht="20" customHeight="1">
      <x:c r="A7" s="4"/>
      <x:c r="B7" s="4" t="str">
        <x:v>Gross margin</x:v>
      </x:c>
      <x:c r="C7" s="5" t="n">
        <x:f>C44</x:f>
        <x:v>18.565220846205392</x:v>
      </x:c>
      <x:c r="D7" s="4" t="str">
        <x:v>dB</x:v>
      </x:c>
      <x:c r="E7" s="4"/>
      <x:c r="F7" s="4"/>
    </x:row>
    <x:row r="8" ht="20" customHeight="1">
      <x:c r="A8" s="4"/>
      <x:c r="B8" s="17" t="str">
        <x:v>Margin after reserve</x:v>
      </x:c>
      <x:c r="C8" s="18" t="n">
        <x:f>C45</x:f>
        <x:v>8.565220846205392</x:v>
      </x:c>
      <x:c r="D8" s="17" t="str">
        <x:v>dB</x:v>
      </x:c>
      <x:c r="E8" s="4"/>
      <x:c r="F8" s="4"/>
    </x:row>
    <x:row r="9" ht="20" customHeight="1">
      <x:c r="A9" s="4"/>
      <x:c r="B9" s="4"/>
      <x:c r="C9" s="5"/>
      <x:c r="D9" s="4"/>
      <x:c r="E9" s="4"/>
      <x:c r="F9" s="4"/>
    </x:row>
    <x:row r="10" ht="20" customHeight="1">
      <x:c r="A10" s="4"/>
      <x:c r="B10" s="4"/>
      <x:c r="C10" s="5"/>
      <x:c r="D10" s="4"/>
      <x:c r="E10" s="4"/>
      <x:c r="F10" s="4" t="str">
        <x:v>Free-space model; antenna nulls excluded.</x:v>
      </x:c>
    </x:row>
    <x:row r="11" ht="20" customHeight="1">
      <x:c r="A11" s="4"/>
      <x:c r="B11" s="4"/>
      <x:c r="C11" s="5"/>
      <x:c r="D11" s="4"/>
      <x:c r="E11" s="4"/>
      <x:c r="F11" s="4"/>
    </x:row>
    <x:row r="12" ht="20" customHeight="1">
      <x:c r="A12" s="4"/>
      <x:c r="B12" s="25" t="str">
        <x:v>Inputs</x:v>
      </x:c>
      <x:c r="C12" s="26"/>
      <x:c r="D12" s="25"/>
      <x:c r="E12" s="4"/>
      <x:c r="F12" s="4" t="str">
        <x:v>Yellow = editable input</x:v>
      </x:c>
    </x:row>
    <x:row r="13" ht="20" customHeight="1">
      <x:c r="A13" s="4"/>
      <x:c r="B13" s="4"/>
      <x:c r="C13" s="5"/>
      <x:c r="D13" s="4"/>
      <x:c r="E13" s="4"/>
      <x:c r="F13" s="4"/>
    </x:row>
    <x:row r="14" ht="20" customHeight="1">
      <x:c r="A14" s="4"/>
      <x:c r="B14" s="4" t="str">
        <x:v>Channel center</x:v>
      </x:c>
      <x:c r="C14" s="20" t="n">
        <x:v>1280</x:v>
      </x:c>
      <x:c r="D14" s="4" t="str">
        <x:v>MHz</x:v>
      </x:c>
      <x:c r="E14" s="4"/>
      <x:c r="F14" s="4"/>
    </x:row>
    <x:row r="15" ht="20" customHeight="1">
      <x:c r="A15" s="4"/>
      <x:c r="B15" s="4" t="str">
        <x:v>Height above ground station</x:v>
      </x:c>
      <x:c r="C15" s="20" t="n">
        <x:v>10000</x:v>
      </x:c>
      <x:c r="D15" s="4" t="str">
        <x:v>ft</x:v>
      </x:c>
      <x:c r="E15" s="4"/>
      <x:c r="F15" s="4"/>
    </x:row>
    <x:row r="16" ht="20" customHeight="1">
      <x:c r="A16" s="4"/>
      <x:c r="B16" s="4" t="str">
        <x:v>Horizontal distance</x:v>
      </x:c>
      <x:c r="C16" s="20" t="n">
        <x:v>100</x:v>
      </x:c>
      <x:c r="D16" s="4" t="str">
        <x:v>m</x:v>
      </x:c>
      <x:c r="E16" s="4"/>
      <x:c r="F16" s="4"/>
    </x:row>
    <x:row r="17" ht="20" customHeight="1">
      <x:c r="A17" s="4"/>
      <x:c r="B17" s="4" t="str">
        <x:v>Average PA output</x:v>
      </x:c>
      <x:c r="C17" s="19" t="n">
        <x:v>0.5</x:v>
      </x:c>
      <x:c r="D17" s="4" t="str">
        <x:v>W</x:v>
      </x:c>
      <x:c r="E17" s="4"/>
      <x:c r="F17" s="4" t="str">
        <x:v>Before filter and coax.</x:v>
      </x:c>
    </x:row>
    <x:row r="18" ht="20" customHeight="1">
      <x:c r="A18" s="4"/>
      <x:c r="B18" s="4" t="str">
        <x:v>Output filter loss</x:v>
      </x:c>
      <x:c r="C18" s="19" t="n">
        <x:v>1</x:v>
      </x:c>
      <x:c r="D18" s="4" t="str">
        <x:v>dB</x:v>
      </x:c>
      <x:c r="E18" s="4"/>
      <x:c r="F18" s="4"/>
    </x:row>
    <x:row r="19" ht="20" customHeight="1">
      <x:c r="A19" s="4"/>
      <x:c r="B19" s="4" t="str">
        <x:v>Transmit cable loss</x:v>
      </x:c>
      <x:c r="C19" s="19" t="n">
        <x:v>0.3</x:v>
      </x:c>
      <x:c r="D19" s="4" t="str">
        <x:v>dB</x:v>
      </x:c>
      <x:c r="E19" s="4"/>
      <x:c r="F19" s="4"/>
    </x:row>
    <x:row r="20" ht="20" customHeight="1">
      <x:c r="A20" s="4"/>
      <x:c r="B20" s="4" t="str">
        <x:v>Flight antenna gain</x:v>
      </x:c>
      <x:c r="C20" s="19" t="n">
        <x:v>0</x:v>
      </x:c>
      <x:c r="D20" s="4" t="str">
        <x:v>dBi</x:v>
      </x:c>
      <x:c r="E20" s="4"/>
      <x:c r="F20" s="4" t="str">
        <x:v>Gain toward the station.</x:v>
      </x:c>
    </x:row>
    <x:row r="21" ht="20" customHeight="1">
      <x:c r="A21" s="4"/>
      <x:c r="B21" s="4" t="str">
        <x:v>Ground antenna gain</x:v>
      </x:c>
      <x:c r="C21" s="19" t="n">
        <x:v>15</x:v>
      </x:c>
      <x:c r="D21" s="4" t="str">
        <x:v>dBi</x:v>
      </x:c>
      <x:c r="E21" s="4"/>
      <x:c r="F21" s="4"/>
    </x:row>
    <x:row r="22" ht="20" customHeight="1">
      <x:c r="A22" s="4"/>
      <x:c r="B22" s="4" t="str">
        <x:v>Receive cable / filter loss</x:v>
      </x:c>
      <x:c r="C22" s="19" t="n">
        <x:v>1</x:v>
      </x:c>
      <x:c r="D22" s="4" t="str">
        <x:v>dB</x:v>
      </x:c>
      <x:c r="E22" s="4"/>
      <x:c r="F22" s="4" t="str">
        <x:v>Excluded from receiver NF below.</x:v>
      </x:c>
    </x:row>
    <x:row r="23" ht="20" customHeight="1">
      <x:c r="A23" s="4"/>
      <x:c r="B23" s="4" t="str">
        <x:v>Ground pointing loss</x:v>
      </x:c>
      <x:c r="C23" s="19" t="n">
        <x:v>2</x:v>
      </x:c>
      <x:c r="D23" s="4" t="str">
        <x:v>dB</x:v>
      </x:c>
      <x:c r="E23" s="4"/>
      <x:c r="F23" s="4"/>
    </x:row>
    <x:row r="24" ht="20" customHeight="1">
      <x:c r="A24" s="4"/>
      <x:c r="B24" s="4" t="str">
        <x:v>Polarization loss</x:v>
      </x:c>
      <x:c r="C24" s="19" t="n">
        <x:v>3</x:v>
      </x:c>
      <x:c r="D24" s="4" t="str">
        <x:v>dB</x:v>
      </x:c>
      <x:c r="E24" s="4"/>
      <x:c r="F24" s="4" t="str">
        <x:v>Linear to circular polarization.</x:v>
      </x:c>
    </x:row>
    <x:row r="25" ht="20" customHeight="1">
      <x:c r="A25" s="4"/>
      <x:c r="B25" s="4" t="str">
        <x:v>Input noise temperature</x:v>
      </x:c>
      <x:c r="C25" s="19" t="n">
        <x:v>290</x:v>
      </x:c>
      <x:c r="D25" s="4" t="str">
        <x:v>K</x:v>
      </x:c>
      <x:c r="E25" s="4"/>
      <x:c r="F25" s="4"/>
    </x:row>
    <x:row r="26" ht="20" customHeight="1">
      <x:c r="A26" s="4"/>
      <x:c r="B26" s="4" t="str">
        <x:v>Receiver noise figure</x:v>
      </x:c>
      <x:c r="C26" s="19" t="n">
        <x:v>8</x:v>
      </x:c>
      <x:c r="D26" s="4" t="str">
        <x:v>dB</x:v>
      </x:c>
      <x:c r="E26" s="4"/>
      <x:c r="F26" s="4" t="str">
        <x:v>Assumed NF at 290 K.</x:v>
      </x:c>
    </x:row>
    <x:row r="27" ht="20" customHeight="1">
      <x:c r="A27" s="4"/>
      <x:c r="B27" s="4" t="str">
        <x:v>Required C/N</x:v>
      </x:c>
      <x:c r="C27" s="19" t="n">
        <x:v>8</x:v>
      </x:c>
      <x:c r="D27" s="4" t="str">
        <x:v>dB</x:v>
      </x:c>
      <x:c r="E27" s="4"/>
      <x:c r="F27" s="4" t="str">
        <x:v>Assumed decoding threshold.</x:v>
      </x:c>
    </x:row>
    <x:row r="28" ht="20" customHeight="1">
      <x:c r="A28" s="4"/>
      <x:c r="B28" s="4" t="str">
        <x:v>Link margin reserve</x:v>
      </x:c>
      <x:c r="C28" s="19" t="n">
        <x:v>10</x:v>
      </x:c>
      <x:c r="D28" s="4" t="str">
        <x:v>dB</x:v>
      </x:c>
      <x:c r="E28" s="4"/>
      <x:c r="F28" s="4" t="str">
        <x:v>Allowance for unmodeled losses.</x:v>
      </x:c>
    </x:row>
    <x:row r="29" ht="20" customHeight="1">
      <x:c r="A29" s="4"/>
      <x:c r="B29" s="4" t="str">
        <x:v>Noise bandwidth</x:v>
      </x:c>
      <x:c r="C29" s="5" t="n">
        <x:f>'Transport'!C42</x:f>
        <x:v>9.6</x:v>
      </x:c>
      <x:c r="D29" s="4" t="str">
        <x:v>MHz</x:v>
      </x:c>
      <x:c r="E29" s="4"/>
      <x:c r="F29" s="4" t="str">
        <x:v>Occupied bandwidth used as ENBW.</x:v>
      </x:c>
    </x:row>
    <x:row r="30" ht="20" customHeight="1">
      <x:c r="A30" s="4"/>
      <x:c r="B30" s="4"/>
      <x:c r="C30" s="5"/>
      <x:c r="D30" s="4"/>
      <x:c r="E30" s="4"/>
      <x:c r="F30" s="4"/>
    </x:row>
    <x:row r="31" ht="20" customHeight="1">
      <x:c r="A31" s="4"/>
      <x:c r="B31" s="4"/>
      <x:c r="C31" s="5"/>
      <x:c r="D31" s="4"/>
      <x:c r="E31" s="4"/>
      <x:c r="F31" s="4"/>
    </x:row>
    <x:row r="32" ht="20" customHeight="1">
      <x:c r="A32" s="4"/>
      <x:c r="B32" s="25" t="str">
        <x:v>Calculation</x:v>
      </x:c>
      <x:c r="C32" s="26"/>
      <x:c r="D32" s="25"/>
      <x:c r="E32" s="4"/>
      <x:c r="F32" s="4"/>
    </x:row>
    <x:row r="33" ht="20" customHeight="1">
      <x:c r="A33" s="4"/>
      <x:c r="B33" s="4"/>
      <x:c r="C33" s="5"/>
      <x:c r="D33" s="4"/>
      <x:c r="E33" s="4"/>
      <x:c r="F33" s="4"/>
    </x:row>
    <x:row r="34" ht="20" customHeight="1">
      <x:c r="A34" s="4"/>
      <x:c r="B34" s="4" t="str">
        <x:v>Height</x:v>
      </x:c>
      <x:c r="C34" s="5" t="n">
        <x:f>C15*0.3048</x:f>
        <x:v>3048</x:v>
      </x:c>
      <x:c r="D34" s="4" t="str">
        <x:v>m</x:v>
      </x:c>
      <x:c r="E34" s="4"/>
      <x:c r="F34" s="4"/>
    </x:row>
    <x:row r="35" ht="20" customHeight="1">
      <x:c r="A35" s="4"/>
      <x:c r="B35" s="4" t="str">
        <x:v>Slant range</x:v>
      </x:c>
      <x:c r="C35" s="5" t="n">
        <x:f>SQRT(C34^2+C16^2)</x:f>
        <x:v>3049.63997875159</x:v>
      </x:c>
      <x:c r="D35" s="4" t="str">
        <x:v>m</x:v>
      </x:c>
      <x:c r="E35" s="4"/>
      <x:c r="F35" s="4"/>
    </x:row>
    <x:row r="36" ht="20" customHeight="1">
      <x:c r="A36" s="4"/>
      <x:c r="B36" s="4" t="str">
        <x:v>Free-space path loss</x:v>
      </x:c>
      <x:c r="C36" s="5" t="n">
        <x:f>20*LOG10(4*PI()*C35*C14*1000000/299792458)</x:f>
        <x:v>104.27695406098721</x:v>
      </x:c>
      <x:c r="D36" s="4" t="str">
        <x:v>dB</x:v>
      </x:c>
      <x:c r="E36" s="4"/>
      <x:c r="F36" s="4"/>
    </x:row>
    <x:row r="37" ht="20" customHeight="1">
      <x:c r="A37" s="4"/>
      <x:c r="B37" s="4" t="str">
        <x:v>PA output</x:v>
      </x:c>
      <x:c r="C37" s="5" t="n">
        <x:f>10*LOG10(1000*C17)</x:f>
        <x:v>26.9897000433602</x:v>
      </x:c>
      <x:c r="D37" s="4" t="str">
        <x:v>dBm</x:v>
      </x:c>
      <x:c r="E37" s="4"/>
      <x:c r="F37" s="4"/>
    </x:row>
    <x:row r="38" ht="20" customHeight="1">
      <x:c r="A38" s="4"/>
      <x:c r="B38" s="4" t="str">
        <x:v>Antenna feed power</x:v>
      </x:c>
      <x:c r="C38" s="5" t="n">
        <x:f>C37-C18-C19</x:f>
        <x:v>25.6897000433602</x:v>
      </x:c>
      <x:c r="D38" s="4" t="str">
        <x:v>dBm</x:v>
      </x:c>
      <x:c r="E38" s="4"/>
      <x:c r="F38" s="4"/>
    </x:row>
    <x:row r="39" ht="20" customHeight="1">
      <x:c r="A39" s="4"/>
      <x:c r="B39" s="4" t="str">
        <x:v>Received power</x:v>
      </x:c>
      <x:c r="C39" s="5" t="n">
        <x:f>C38+C20+C21-C36-C22-C23-C24</x:f>
        <x:v>-69.587254017627</x:v>
      </x:c>
      <x:c r="D39" s="4" t="str">
        <x:v>dBm</x:v>
      </x:c>
      <x:c r="E39" s="4"/>
      <x:c r="F39" s="4"/>
    </x:row>
    <x:row r="40" ht="20" customHeight="1">
      <x:c r="A40" s="4"/>
      <x:c r="B40" s="4" t="str">
        <x:v>Input thermal noise</x:v>
      </x:c>
      <x:c r="C40" s="5" t="n">
        <x:f>10*LOG10(1.380649E-23*C25*C29*1000000*1000)</x:f>
        <x:v>-104.152474863832</x:v>
      </x:c>
      <x:c r="D40" s="4" t="str">
        <x:v>dBm</x:v>
      </x:c>
      <x:c r="E40" s="4"/>
      <x:c r="F40" s="4"/>
    </x:row>
    <x:row r="41" ht="20" customHeight="1">
      <x:c r="A41" s="4"/>
      <x:c r="B41" s="4" t="str">
        <x:v>Effective noise temperature</x:v>
      </x:c>
      <x:c r="C41" s="5" t="n">
        <x:f>C25+(10^(C26/10)-1)*290</x:f>
        <x:v>1829.7762989925607</x:v>
      </x:c>
      <x:c r="D41" s="4" t="str">
        <x:v>K</x:v>
      </x:c>
      <x:c r="E41" s="4"/>
      <x:c r="F41" s="4"/>
    </x:row>
    <x:row r="42" ht="20" customHeight="1">
      <x:c r="A42" s="4"/>
      <x:c r="B42" s="4" t="str">
        <x:v>Total receiver noise</x:v>
      </x:c>
      <x:c r="C42" s="5" t="n">
        <x:f>10*LOG10(1.380649E-23*C41*C29*1000000*1000)</x:f>
        <x:v>-96.1524748638324</x:v>
      </x:c>
      <x:c r="D42" s="4" t="str">
        <x:v>dBm</x:v>
      </x:c>
      <x:c r="E42" s="4"/>
      <x:c r="F42" s="4"/>
    </x:row>
    <x:row r="43" ht="20" customHeight="1">
      <x:c r="A43" s="4"/>
      <x:c r="B43" s="4" t="str">
        <x:v>Receiver threshold</x:v>
      </x:c>
      <x:c r="C43" s="5" t="n">
        <x:f>C42+C27</x:f>
        <x:v>-88.1524748638324</x:v>
      </x:c>
      <x:c r="D43" s="4" t="str">
        <x:v>dBm</x:v>
      </x:c>
      <x:c r="E43" s="4"/>
      <x:c r="F43" s="4"/>
    </x:row>
    <x:row r="44" ht="20" customHeight="1">
      <x:c r="A44" s="4"/>
      <x:c r="B44" s="4" t="str">
        <x:v>Gross margin</x:v>
      </x:c>
      <x:c r="C44" s="5" t="n">
        <x:f>C39-C43</x:f>
        <x:v>18.565220846205392</x:v>
      </x:c>
      <x:c r="D44" s="4" t="str">
        <x:v>dB</x:v>
      </x:c>
      <x:c r="E44" s="4"/>
      <x:c r="F44" s="4"/>
    </x:row>
    <x:row r="45" ht="20" customHeight="1">
      <x:c r="A45" s="4"/>
      <x:c r="B45" s="4" t="str">
        <x:v>Margin after reserve</x:v>
      </x:c>
      <x:c r="C45" s="5" t="n">
        <x:f>C44-C28</x:f>
        <x:v>8.565220846205392</x:v>
      </x:c>
      <x:c r="D45" s="4" t="str">
        <x:v>dB</x:v>
      </x:c>
      <x:c r="E45" s="4"/>
      <x:c r="F45" s="4"/>
    </x:row>
    <x:row r="46" ht="20" customHeight="1">
      <x:c r="A46" s="4"/>
      <x:c r="B46" s="4"/>
      <x:c r="C46" s="5"/>
      <x:c r="D46" s="4"/>
      <x:c r="E46" s="4"/>
      <x:c r="F46" s="4"/>
    </x:row>
    <x:row r="47" ht="20" customHeight="1">
      <x:c r="A47" s="4"/>
      <x:c r="B47" s="4"/>
      <x:c r="C47" s="5"/>
      <x:c r="D47" s="4"/>
      <x:c r="E47" s="4"/>
      <x:c r="F47" s="4"/>
    </x:row>
    <x:row r="48" ht="20" customHeight="1">
      <x:c r="A48" s="4"/>
      <x:c r="B48" s="4"/>
      <x:c r="C48" s="5"/>
      <x:c r="D48" s="4"/>
      <x:c r="E48" s="4"/>
      <x:c r="F48" s="4"/>
    </x:row>
    <x:row r="49" ht="20" customHeight="1">
      <x:c r="A49" s="4"/>
      <x:c r="B49" s="4"/>
      <x:c r="C49" s="5"/>
      <x:c r="D49" s="4"/>
      <x:c r="E49" s="4"/>
      <x:c r="F49" s="4"/>
    </x:row>
    <x:row r="50" ht="24" customHeight="1">
      <x:c r="A50" s="4"/>
      <x:c r="B50" s="4"/>
      <x:c r="C50" s="5"/>
      <x:c r="D50" s="4"/>
      <x:c r="E50" s="4"/>
      <x:c r="F50" s="4"/>
    </x:row>
    <x:row r="51" ht="24" customHeight="1">
      <x:c r="A51" s="4"/>
      <x:c r="B51" s="4"/>
      <x:c r="C51" s="5"/>
      <x:c r="D51" s="4"/>
      <x:c r="E51" s="4"/>
      <x:c r="F51" s="4"/>
    </x:row>
    <x:row r="52" ht="24" customHeight="1">
      <x:c r="A52" s="4"/>
      <x:c r="B52" s="4"/>
      <x:c r="C52" s="5"/>
      <x:c r="D52" s="4"/>
      <x:c r="E52" s="4"/>
      <x:c r="F52" s="4"/>
    </x:row>
  </x:sheetData>
  <x:conditionalFormatting sqref="C8:C8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ee6b1e8702ed47ee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36" hidden="0" customWidth="1"/>
    <x:col min="3" max="3" width="15" hidden="0" customWidth="1"/>
    <x:col min="4" max="4" width="13" hidden="0" customWidth="1"/>
    <x:col min="5" max="5" width="3" hidden="0" customWidth="1"/>
    <x:col min="6" max="6" width="39" hidden="0" customWidth="1"/>
  </x:cols>
  <x:sheetData>
    <x:row r="1" ht="20" customHeight="1">
      <x:c r="A1" s="4"/>
      <x:c r="B1" s="4"/>
      <x:c r="C1" s="5"/>
      <x:c r="D1" s="4"/>
      <x:c r="E1" s="4"/>
      <x:c r="F1" s="4"/>
    </x:row>
    <x:row r="2" ht="20" customHeight="1">
      <x:c r="A2" s="4"/>
      <x:c r="B2" s="24" t="str">
        <x:v>PigeonVision transport</x:v>
      </x:c>
      <x:c r="C2" s="9"/>
      <x:c r="D2" s="8"/>
      <x:c r="E2" s="8"/>
      <x:c r="F2" s="12"/>
    </x:row>
    <x:row r="3" ht="20" customHeight="1">
      <x:c r="A3" s="4"/>
      <x:c r="B3" s="10"/>
      <x:c r="C3" s="11"/>
      <x:c r="D3" s="10"/>
      <x:c r="E3" s="10"/>
      <x:c r="F3" s="10"/>
    </x:row>
    <x:row r="4" ht="20" customHeight="1">
      <x:c r="A4" s="4"/>
      <x:c r="B4" s="25" t="str">
        <x:v>Result</x:v>
      </x:c>
      <x:c r="C4" s="26"/>
      <x:c r="D4" s="25"/>
      <x:c r="E4" s="4"/>
      <x:c r="F4" s="4"/>
    </x:row>
    <x:row r="5" ht="20" customHeight="1">
      <x:c r="A5" s="4"/>
      <x:c r="B5" s="4" t="str">
        <x:v>TS capacity</x:v>
      </x:c>
      <x:c r="C5" s="5" t="n">
        <x:f>C38</x:f>
        <x:v>10.326302505859022</x:v>
      </x:c>
      <x:c r="D5" s="4" t="str">
        <x:v>Mb/s</x:v>
      </x:c>
      <x:c r="E5" s="4"/>
      <x:c r="F5" s="4" t="str">
        <x:v>QPSK 2/3, normal frames, pilots on.</x:v>
      </x:c>
    </x:row>
    <x:row r="6" ht="20" customHeight="1">
      <x:c r="A6" s="4"/>
      <x:c r="B6" s="4" t="str">
        <x:v>Planned transport demand</x:v>
      </x:c>
      <x:c r="C6" s="5" t="n">
        <x:f>C40</x:f>
        <x:v>9</x:v>
      </x:c>
      <x:c r="D6" s="4" t="str">
        <x:v>Mb/s</x:v>
      </x:c>
      <x:c r="E6" s="4"/>
      <x:c r="F6" s="4"/>
    </x:row>
    <x:row r="7" ht="20" customHeight="1">
      <x:c r="A7" s="4"/>
      <x:c r="B7" s="17" t="str">
        <x:v>Headroom after reserve</x:v>
      </x:c>
      <x:c r="C7" s="18" t="n">
        <x:f>C41</x:f>
        <x:v>0.8099873805660707</x:v>
      </x:c>
      <x:c r="D7" s="17" t="str">
        <x:v>Mb/s</x:v>
      </x:c>
      <x:c r="E7" s="4"/>
      <x:c r="F7" s="4"/>
    </x:row>
    <x:row r="8" ht="20" customHeight="1">
      <x:c r="A8" s="4"/>
      <x:c r="B8" s="4" t="str">
        <x:v>Nominal occupied bandwidth</x:v>
      </x:c>
      <x:c r="C8" s="5" t="n">
        <x:f>C42</x:f>
        <x:v>9.6</x:v>
      </x:c>
      <x:c r="D8" s="4" t="str">
        <x:v>MHz</x:v>
      </x:c>
      <x:c r="E8" s="4"/>
      <x:c r="F8" s="4"/>
    </x:row>
    <x:row r="9" ht="20" customHeight="1">
      <x:c r="A9" s="4"/>
      <x:c r="B9" s="4" t="str">
        <x:v>Ground I/Q payload</x:v>
      </x:c>
      <x:c r="C9" s="5" t="n">
        <x:f>C44</x:f>
        <x:v>512</x:v>
      </x:c>
      <x:c r="D9" s="4" t="str">
        <x:v>Mb/s</x:v>
      </x:c>
      <x:c r="E9" s="4"/>
      <x:c r="F9" s="4"/>
    </x:row>
    <x:row r="10" ht="20" customHeight="1">
      <x:c r="A10" s="4"/>
      <x:c r="B10" s="4"/>
      <x:c r="C10" s="5"/>
      <x:c r="D10" s="4"/>
      <x:c r="E10" s="4"/>
      <x:c r="F10" s="4" t="str">
        <x:v>E200 profile remains untested.</x:v>
      </x:c>
    </x:row>
    <x:row r="11" ht="20" customHeight="1">
      <x:c r="A11" s="4"/>
      <x:c r="B11" s="4"/>
      <x:c r="C11" s="5"/>
      <x:c r="D11" s="4"/>
      <x:c r="E11" s="4"/>
      <x:c r="F11" s="4"/>
    </x:row>
    <x:row r="12" ht="20" customHeight="1">
      <x:c r="A12" s="4"/>
      <x:c r="B12" s="25" t="str">
        <x:v>Inputs</x:v>
      </x:c>
      <x:c r="C12" s="26"/>
      <x:c r="D12" s="25"/>
      <x:c r="E12" s="4"/>
      <x:c r="F12" s="4" t="str">
        <x:v>Yellow = editable input</x:v>
      </x:c>
    </x:row>
    <x:row r="13" ht="20" customHeight="1">
      <x:c r="A13" s="4"/>
      <x:c r="B13" s="4"/>
      <x:c r="C13" s="5"/>
      <x:c r="D13" s="4"/>
      <x:c r="E13" s="4"/>
      <x:c r="F13" s="4"/>
    </x:row>
    <x:row r="14" ht="20" customHeight="1">
      <x:c r="A14" s="4"/>
      <x:c r="B14" s="4" t="str">
        <x:v>Symbol rate</x:v>
      </x:c>
      <x:c r="C14" s="19" t="n">
        <x:v>8</x:v>
      </x:c>
      <x:c r="D14" s="4" t="str">
        <x:v>MSym/s</x:v>
      </x:c>
      <x:c r="E14" s="4"/>
      <x:c r="F14" s="4"/>
    </x:row>
    <x:row r="15" ht="20" customHeight="1">
      <x:c r="A15" s="4"/>
      <x:c r="B15" s="4" t="str">
        <x:v>Rolloff</x:v>
      </x:c>
      <x:c r="C15" s="21" t="n">
        <x:v>0.2</x:v>
      </x:c>
      <x:c r="D15" s="4" t="str">
        <x:v>fraction</x:v>
      </x:c>
      <x:c r="E15" s="4"/>
      <x:c r="F15" s="4"/>
    </x:row>
    <x:row r="16" ht="20" customHeight="1">
      <x:c r="A16" s="4"/>
      <x:c r="B16" s="4" t="str">
        <x:v>Bits per QPSK symbol</x:v>
      </x:c>
      <x:c r="C16" s="22" t="n">
        <x:v>2</x:v>
      </x:c>
      <x:c r="D16" s="4" t="str">
        <x:v>bits</x:v>
      </x:c>
      <x:c r="E16" s="4"/>
      <x:c r="F16" s="4"/>
    </x:row>
    <x:row r="17" ht="20" customHeight="1">
      <x:c r="A17" s="4"/>
      <x:c r="B17" s="4" t="str">
        <x:v>BCH information bits</x:v>
      </x:c>
      <x:c r="C17" s="22" t="n">
        <x:v>43040</x:v>
      </x:c>
      <x:c r="D17" s="4" t="str">
        <x:v>bits</x:v>
      </x:c>
      <x:c r="E17" s="4"/>
      <x:c r="F17" s="4" t="str">
        <x:v>Fixed QPSK 2/3 profile.</x:v>
      </x:c>
    </x:row>
    <x:row r="18" ht="20" customHeight="1">
      <x:c r="A18" s="4"/>
      <x:c r="B18" s="4" t="str">
        <x:v>Coded frame length</x:v>
      </x:c>
      <x:c r="C18" s="22" t="n">
        <x:v>64800</x:v>
      </x:c>
      <x:c r="D18" s="4" t="str">
        <x:v>bits</x:v>
      </x:c>
      <x:c r="E18" s="4"/>
      <x:c r="F18" s="4"/>
    </x:row>
    <x:row r="19" ht="20" customHeight="1">
      <x:c r="A19" s="4"/>
      <x:c r="B19" s="4" t="str">
        <x:v>BB header length</x:v>
      </x:c>
      <x:c r="C19" s="22" t="n">
        <x:v>80</x:v>
      </x:c>
      <x:c r="D19" s="4" t="str">
        <x:v>bits</x:v>
      </x:c>
      <x:c r="E19" s="4"/>
      <x:c r="F19" s="4"/>
    </x:row>
    <x:row r="20" ht="20" customHeight="1">
      <x:c r="A20" s="4"/>
      <x:c r="B20" s="4" t="str">
        <x:v>Pilot interval</x:v>
      </x:c>
      <x:c r="C20" s="22" t="n">
        <x:v>16</x:v>
      </x:c>
      <x:c r="D20" s="4" t="str">
        <x:v>slots</x:v>
      </x:c>
      <x:c r="E20" s="4"/>
      <x:c r="F20" s="4"/>
    </x:row>
    <x:row r="21" ht="20" customHeight="1">
      <x:c r="A21" s="4"/>
      <x:c r="B21" s="4" t="str">
        <x:v>Pilot block length</x:v>
      </x:c>
      <x:c r="C21" s="22" t="n">
        <x:v>36</x:v>
      </x:c>
      <x:c r="D21" s="4" t="str">
        <x:v>symbols</x:v>
      </x:c>
      <x:c r="E21" s="4"/>
      <x:c r="F21" s="4"/>
    </x:row>
    <x:row r="22" ht="20" customHeight="1">
      <x:c r="A22" s="4"/>
      <x:c r="B22" s="4" t="str">
        <x:v>PL header length</x:v>
      </x:c>
      <x:c r="C22" s="22" t="n">
        <x:v>90</x:v>
      </x:c>
      <x:c r="D22" s="4" t="str">
        <x:v>symbols</x:v>
      </x:c>
      <x:c r="E22" s="4"/>
      <x:c r="F22" s="4"/>
    </x:row>
    <x:row r="23" ht="20" customHeight="1">
      <x:c r="A23" s="4"/>
      <x:c r="B23" s="4" t="str">
        <x:v>Data slot length</x:v>
      </x:c>
      <x:c r="C23" s="22" t="n">
        <x:v>90</x:v>
      </x:c>
      <x:c r="D23" s="4" t="str">
        <x:v>symbols</x:v>
      </x:c>
      <x:c r="E23" s="4"/>
      <x:c r="F23" s="4"/>
    </x:row>
    <x:row r="24" ht="20" customHeight="1">
      <x:c r="A24" s="4"/>
      <x:c r="B24" s="4" t="str">
        <x:v>Capacity reserve</x:v>
      </x:c>
      <x:c r="C24" s="21" t="n">
        <x:v>0.05</x:v>
      </x:c>
      <x:c r="D24" s="4" t="str">
        <x:v>fraction</x:v>
      </x:c>
      <x:c r="E24" s="4"/>
      <x:c r="F24" s="4" t="str">
        <x:v>Capacity left unused for headroom.</x:v>
      </x:c>
    </x:row>
    <x:row r="25" ht="20" customHeight="1">
      <x:c r="A25" s="4"/>
      <x:c r="B25" s="4" t="str">
        <x:v>Camera A video</x:v>
      </x:c>
      <x:c r="C25" s="19" t="n">
        <x:v>4</x:v>
      </x:c>
      <x:c r="D25" s="4" t="str">
        <x:v>Mb/s</x:v>
      </x:c>
      <x:c r="E25" s="4"/>
      <x:c r="F25" s="4"/>
    </x:row>
    <x:row r="26" ht="20" customHeight="1">
      <x:c r="A26" s="4"/>
      <x:c r="B26" s="4" t="str">
        <x:v>Camera B video</x:v>
      </x:c>
      <x:c r="C26" s="19" t="n">
        <x:v>4</x:v>
      </x:c>
      <x:c r="D26" s="4" t="str">
        <x:v>Mb/s</x:v>
      </x:c>
      <x:c r="E26" s="4"/>
      <x:c r="F26" s="4"/>
    </x:row>
    <x:row r="27" ht="20" customHeight="1">
      <x:c r="A27" s="4"/>
      <x:c r="B27" s="4" t="str">
        <x:v>Telemetry</x:v>
      </x:c>
      <x:c r="C27" s="19" t="n">
        <x:v>0.1</x:v>
      </x:c>
      <x:c r="D27" s="4" t="str">
        <x:v>Mb/s</x:v>
      </x:c>
      <x:c r="E27" s="4"/>
      <x:c r="F27" s="4"/>
    </x:row>
    <x:row r="28" ht="20" customHeight="1">
      <x:c r="A28" s="4"/>
      <x:c r="B28" s="4" t="str">
        <x:v>Mux / transport overhead</x:v>
      </x:c>
      <x:c r="C28" s="19" t="n">
        <x:v>0.9</x:v>
      </x:c>
      <x:c r="D28" s="4" t="str">
        <x:v>Mb/s</x:v>
      </x:c>
      <x:c r="E28" s="4"/>
      <x:c r="F28" s="4" t="str">
        <x:v>Replace with measured overhead.</x:v>
      </x:c>
    </x:row>
    <x:row r="29" ht="20" customHeight="1">
      <x:c r="A29" s="4"/>
      <x:c r="B29" s="4" t="str">
        <x:v>Receive samples / symbol</x:v>
      </x:c>
      <x:c r="C29" s="19" t="n">
        <x:v>2</x:v>
      </x:c>
      <x:c r="D29" s="4" t="str">
        <x:v>samples</x:v>
      </x:c>
      <x:c r="E29" s="4"/>
      <x:c r="F29" s="4"/>
    </x:row>
    <x:row r="30" ht="20" customHeight="1">
      <x:c r="A30" s="4"/>
      <x:c r="B30" s="4" t="str">
        <x:v>Bytes / complex sample</x:v>
      </x:c>
      <x:c r="C30" s="19" t="n">
        <x:v>4</x:v>
      </x:c>
      <x:c r="D30" s="4" t="str">
        <x:v>bytes</x:v>
      </x:c>
      <x:c r="E30" s="4"/>
      <x:c r="F30" s="4"/>
    </x:row>
    <x:row r="31" ht="20" customHeight="1">
      <x:c r="A31" s="4"/>
      <x:c r="B31" s="4"/>
      <x:c r="C31" s="5"/>
      <x:c r="D31" s="4"/>
      <x:c r="E31" s="4"/>
      <x:c r="F31" s="4"/>
    </x:row>
    <x:row r="32" ht="20" customHeight="1">
      <x:c r="A32" s="4"/>
      <x:c r="B32" s="25" t="str">
        <x:v>Calculation</x:v>
      </x:c>
      <x:c r="C32" s="26"/>
      <x:c r="D32" s="25"/>
      <x:c r="E32" s="4"/>
      <x:c r="F32" s="4"/>
    </x:row>
    <x:row r="33" ht="20" customHeight="1">
      <x:c r="A33" s="4"/>
      <x:c r="B33" s="4"/>
      <x:c r="C33" s="5"/>
      <x:c r="D33" s="4"/>
      <x:c r="E33" s="4"/>
      <x:c r="F33" s="4"/>
    </x:row>
    <x:row r="34" ht="20" customHeight="1">
      <x:c r="A34" s="4"/>
      <x:c r="B34" s="4" t="str">
        <x:v>Data symbols / frame</x:v>
      </x:c>
      <x:c r="C34" s="22" t="n">
        <x:f>C18/C16</x:f>
        <x:v>32400</x:v>
      </x:c>
      <x:c r="D34" s="4" t="str">
        <x:v>symbols</x:v>
      </x:c>
      <x:c r="E34" s="4"/>
      <x:c r="F34" s="4"/>
    </x:row>
    <x:row r="35" ht="20" customHeight="1">
      <x:c r="A35" s="4"/>
      <x:c r="B35" s="4" t="str">
        <x:v>Data slots / frame</x:v>
      </x:c>
      <x:c r="C35" s="22" t="n">
        <x:f>C34/C23</x:f>
        <x:v>360</x:v>
      </x:c>
      <x:c r="D35" s="4" t="str">
        <x:v>slots</x:v>
      </x:c>
      <x:c r="E35" s="4"/>
      <x:c r="F35" s="4"/>
    </x:row>
    <x:row r="36" ht="20" customHeight="1">
      <x:c r="A36" s="4"/>
      <x:c r="B36" s="4" t="str">
        <x:v>Pilot blocks / frame</x:v>
      </x:c>
      <x:c r="C36" s="22" t="n">
        <x:f>INT((C35-1)/C20)</x:f>
        <x:v>22</x:v>
      </x:c>
      <x:c r="D36" s="4" t="str">
        <x:v>blocks</x:v>
      </x:c>
      <x:c r="E36" s="4"/>
      <x:c r="F36" s="4"/>
    </x:row>
    <x:row r="37" ht="20" customHeight="1">
      <x:c r="A37" s="4"/>
      <x:c r="B37" s="4" t="str">
        <x:v>Total symbols / frame</x:v>
      </x:c>
      <x:c r="C37" s="22" t="n">
        <x:f>C34+C22+C36*C21</x:f>
        <x:v>33282</x:v>
      </x:c>
      <x:c r="D37" s="4" t="str">
        <x:v>symbols</x:v>
      </x:c>
      <x:c r="E37" s="4"/>
      <x:c r="F37" s="4"/>
    </x:row>
    <x:row r="38" ht="20" customHeight="1">
      <x:c r="A38" s="4"/>
      <x:c r="B38" s="4" t="str">
        <x:v>TS capacity</x:v>
      </x:c>
      <x:c r="C38" s="5" t="n">
        <x:f>C14*(C17-C19)/C37</x:f>
        <x:v>10.326302505859022</x:v>
      </x:c>
      <x:c r="D38" s="4" t="str">
        <x:v>Mb/s</x:v>
      </x:c>
      <x:c r="E38" s="4"/>
      <x:c r="F38" s="4"/>
    </x:row>
    <x:row r="39" ht="20" customHeight="1">
      <x:c r="A39" s="4"/>
      <x:c r="B39" s="4" t="str">
        <x:v>Capacity after reserve</x:v>
      </x:c>
      <x:c r="C39" s="5" t="n">
        <x:f>C38*(1-C24)</x:f>
        <x:v>9.80998738056607</x:v>
      </x:c>
      <x:c r="D39" s="4" t="str">
        <x:v>Mb/s</x:v>
      </x:c>
      <x:c r="E39" s="4"/>
      <x:c r="F39" s="4"/>
    </x:row>
    <x:row r="40" ht="20" customHeight="1">
      <x:c r="A40" s="4"/>
      <x:c r="B40" s="4" t="str">
        <x:v>Planned transport demand</x:v>
      </x:c>
      <x:c r="C40" s="5" t="n">
        <x:f>SUM(C25:C28)</x:f>
        <x:v>9</x:v>
      </x:c>
      <x:c r="D40" s="4" t="str">
        <x:v>Mb/s</x:v>
      </x:c>
      <x:c r="E40" s="4"/>
      <x:c r="F40" s="4"/>
    </x:row>
    <x:row r="41" ht="20" customHeight="1">
      <x:c r="A41" s="4"/>
      <x:c r="B41" s="4" t="str">
        <x:v>Headroom after reserve</x:v>
      </x:c>
      <x:c r="C41" s="5" t="n">
        <x:f>C39-C40</x:f>
        <x:v>0.8099873805660707</x:v>
      </x:c>
      <x:c r="D41" s="4" t="str">
        <x:v>Mb/s</x:v>
      </x:c>
      <x:c r="E41" s="4"/>
      <x:c r="F41" s="4"/>
    </x:row>
    <x:row r="42" ht="20" customHeight="1">
      <x:c r="A42" s="4"/>
      <x:c r="B42" s="4" t="str">
        <x:v>Occupied bandwidth</x:v>
      </x:c>
      <x:c r="C42" s="5" t="n">
        <x:f>C14*(1+C15)</x:f>
        <x:v>9.6</x:v>
      </x:c>
      <x:c r="D42" s="4" t="str">
        <x:v>MHz</x:v>
      </x:c>
      <x:c r="E42" s="4"/>
      <x:c r="F42" s="4"/>
    </x:row>
    <x:row r="43" ht="20" customHeight="1">
      <x:c r="A43" s="4"/>
      <x:c r="B43" s="4" t="str">
        <x:v>Receive I/Q payload</x:v>
      </x:c>
      <x:c r="C43" s="5" t="n">
        <x:f>C14*C29*C30</x:f>
        <x:v>64</x:v>
      </x:c>
      <x:c r="D43" s="4" t="str">
        <x:v>MB/s</x:v>
      </x:c>
      <x:c r="E43" s="4"/>
      <x:c r="F43" s="4"/>
    </x:row>
    <x:row r="44" ht="20" customHeight="1">
      <x:c r="A44" s="4"/>
      <x:c r="B44" s="4" t="str">
        <x:v>Receive I/Q payload</x:v>
      </x:c>
      <x:c r="C44" s="5" t="n">
        <x:f>C43*8</x:f>
        <x:v>512</x:v>
      </x:c>
      <x:c r="D44" s="4" t="str">
        <x:v>Mb/s</x:v>
      </x:c>
      <x:c r="E44" s="4"/>
      <x:c r="F44" s="4"/>
    </x:row>
    <x:row r="45" ht="20" customHeight="1">
      <x:c r="A45" s="4"/>
      <x:c r="B45" s="4" t="str">
        <x:v>Gigabit line fraction</x:v>
      </x:c>
      <x:c r="C45" s="23" t="n">
        <x:f>C44/1000</x:f>
        <x:v>0.512</x:v>
      </x:c>
      <x:c r="D45" s="4" t="str">
        <x:v>fraction</x:v>
      </x:c>
      <x:c r="E45" s="4"/>
      <x:c r="F45" s="4" t="str">
        <x:v>Ethernet headers excluded.</x:v>
      </x:c>
    </x:row>
    <x:row r="46" ht="20" customHeight="1">
      <x:c r="A46" s="4"/>
      <x:c r="B46" s="4"/>
      <x:c r="C46" s="5"/>
      <x:c r="D46" s="4"/>
      <x:c r="E46" s="4"/>
      <x:c r="F46" s="4"/>
    </x:row>
    <x:row r="47" ht="20" customHeight="1">
      <x:c r="A47" s="4"/>
      <x:c r="B47" s="4"/>
      <x:c r="C47" s="5"/>
      <x:c r="D47" s="4"/>
      <x:c r="E47" s="4"/>
      <x:c r="F47" s="4"/>
    </x:row>
    <x:row r="48" ht="20" customHeight="1">
      <x:c r="A48" s="4"/>
      <x:c r="B48" s="4"/>
      <x:c r="C48" s="5"/>
      <x:c r="D48" s="4"/>
      <x:c r="E48" s="4"/>
      <x:c r="F48" s="4"/>
    </x:row>
    <x:row r="49" ht="20" customHeight="1">
      <x:c r="A49" s="4"/>
      <x:c r="B49" s="4"/>
      <x:c r="C49" s="5"/>
      <x:c r="D49" s="4"/>
      <x:c r="E49" s="4"/>
      <x:c r="F49" s="4"/>
    </x:row>
    <x:row r="50" ht="24" customHeight="1">
      <x:c r="A50" s="4"/>
      <x:c r="B50" s="4"/>
      <x:c r="C50" s="5"/>
      <x:c r="D50" s="4"/>
      <x:c r="E50" s="4"/>
      <x:c r="F50" s="4"/>
    </x:row>
    <x:row r="51" ht="24" customHeight="1">
      <x:c r="A51" s="4"/>
      <x:c r="B51" s="4"/>
      <x:c r="C51" s="5"/>
      <x:c r="D51" s="4"/>
      <x:c r="E51" s="4"/>
      <x:c r="F51" s="4"/>
    </x:row>
    <x:row r="52" ht="24" customHeight="1">
      <x:c r="A52" s="4"/>
      <x:c r="B52" s="4"/>
      <x:c r="C52" s="5"/>
      <x:c r="D52" s="4"/>
      <x:c r="E52" s="4"/>
      <x:c r="F52" s="4"/>
    </x:row>
  </x:sheetData>
  <x:conditionalFormatting sqref="C7:C7">
    <x:cfRule type="cellIs" dxfId="1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d693c753c6f04ba0"/>
</x:worksheet>
</file>